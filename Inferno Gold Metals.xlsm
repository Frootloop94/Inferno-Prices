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A3712DF0-D20B-4190-AAA3-578875CA151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<sst xmlns="http://schemas.openxmlformats.org/spreadsheetml/2006/main" count="178" uniqueCount="73">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</sst>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2602.4490000000001</v>
      </c>
      <c r="E5" s="38" t="s">
        <v>68</v>
      </c>
      <c r="F5" s="6">
        <v>2570.3200000000002</v>
      </c>
    </row>
    <row r="6" spans="2:8" x14ac:dyDescent="0.25">
      <c r="B6" s="4" t="s">
        <v>6</v>
      </c>
      <c r="C6" s="7">
        <f>F6*1.1</f>
        <v>1276.5500000000002</v>
      </c>
      <c r="E6" s="37" t="s">
        <v>68</v>
      </c>
      <c r="F6" s="7">
        <v>1160.5</v>
      </c>
    </row>
    <row r="7" spans="2:8" x14ac:dyDescent="0.25">
      <c r="B7" s="4" t="s">
        <v>9</v>
      </c>
      <c r="C7" s="7">
        <f>F7*1.1125</f>
        <v>1042.1121250000001</v>
      </c>
      <c r="E7" s="37" t="s">
        <v>68</v>
      </c>
      <c r="F7" s="7">
        <v>936.73</v>
      </c>
    </row>
    <row r="8" spans="2:8" x14ac:dyDescent="0.25">
      <c r="B8" s="4" t="s">
        <v>17</v>
      </c>
      <c r="C8" s="7">
        <f>F8*1.075</f>
        <v>49.568249999999999</v>
      </c>
      <c r="E8" s="37" t="s">
        <v>68</v>
      </c>
      <c r="F8" s="7">
        <v>46.11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46134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2602.25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2496.2000000000003</v>
      </c>
    </row>
    <row r="9" spans="2:4" x14ac:dyDescent="0.25">
      <c r="B9" s="24" t="s">
        <v>27</v>
      </c>
      <c r="C9" s="33">
        <f>'Master Alloy Sheet'!C5</f>
        <v>2398.2000000000003</v>
      </c>
    </row>
    <row r="10" spans="2:4" ht="13.5" thickBot="1" x14ac:dyDescent="0.3">
      <c r="B10" s="25" t="s">
        <v>28</v>
      </c>
      <c r="C10" s="34">
        <f>'Master Alloy Sheet'!C6</f>
        <v>2394.4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2218.2000000000003</v>
      </c>
    </row>
    <row r="13" spans="2:4" x14ac:dyDescent="0.25">
      <c r="B13" s="24" t="s">
        <v>37</v>
      </c>
      <c r="C13" s="33">
        <f>'Master Alloy Sheet'!C9</f>
        <v>2171.4</v>
      </c>
    </row>
    <row r="14" spans="2:4" x14ac:dyDescent="0.25">
      <c r="B14" s="24" t="s">
        <v>38</v>
      </c>
      <c r="C14" s="33">
        <f>'Master Alloy Sheet'!C10</f>
        <v>2146.6</v>
      </c>
    </row>
    <row r="15" spans="2:4" x14ac:dyDescent="0.25">
      <c r="B15" s="24" t="s">
        <v>39</v>
      </c>
      <c r="C15" s="33">
        <f>'Master Alloy Sheet'!C11</f>
        <v>2121.8000000000002</v>
      </c>
    </row>
    <row r="16" spans="2:4" x14ac:dyDescent="0.25">
      <c r="B16" s="24" t="s">
        <v>40</v>
      </c>
      <c r="C16" s="33">
        <f>'Master Alloy Sheet'!C12</f>
        <v>2097</v>
      </c>
    </row>
    <row r="17" spans="2:3" x14ac:dyDescent="0.25">
      <c r="B17" s="24" t="s">
        <v>41</v>
      </c>
      <c r="C17" s="33">
        <f>'Master Alloy Sheet'!C13</f>
        <v>2072.2000000000003</v>
      </c>
    </row>
    <row r="18" spans="2:3" x14ac:dyDescent="0.25">
      <c r="B18" s="24" t="s">
        <v>42</v>
      </c>
      <c r="C18" s="33">
        <f>'Master Alloy Sheet'!C14</f>
        <v>2065</v>
      </c>
    </row>
    <row r="19" spans="2:3" x14ac:dyDescent="0.25">
      <c r="B19" s="24" t="s">
        <v>29</v>
      </c>
      <c r="C19" s="33">
        <f>'Master Alloy Sheet'!C15</f>
        <v>1967.8000000000002</v>
      </c>
    </row>
    <row r="20" spans="2:3" x14ac:dyDescent="0.25">
      <c r="B20" s="24" t="s">
        <v>30</v>
      </c>
      <c r="C20" s="33">
        <f>'Master Alloy Sheet'!C16</f>
        <v>1963.4</v>
      </c>
    </row>
    <row r="21" spans="2:3" ht="13.5" thickBot="1" x14ac:dyDescent="0.3">
      <c r="B21" s="25" t="s">
        <v>43</v>
      </c>
      <c r="C21" s="34">
        <f>'Master Alloy Sheet'!C17</f>
        <v>1965.4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1789.4</v>
      </c>
    </row>
    <row r="24" spans="2:3" x14ac:dyDescent="0.25">
      <c r="B24" s="24" t="s">
        <v>69</v>
      </c>
      <c r="C24" s="33">
        <f>'Master Alloy Sheet'!C20</f>
        <v>1717.8000000000002</v>
      </c>
    </row>
    <row r="25" spans="2:3" x14ac:dyDescent="0.25">
      <c r="B25" s="24" t="s">
        <v>45</v>
      </c>
      <c r="C25" s="33">
        <f>'Master Alloy Sheet'!C21</f>
        <v>1693</v>
      </c>
    </row>
    <row r="26" spans="2:3" x14ac:dyDescent="0.25">
      <c r="B26" s="24" t="s">
        <v>46</v>
      </c>
      <c r="C26" s="33">
        <f>'Master Alloy Sheet'!C22</f>
        <v>1668</v>
      </c>
    </row>
    <row r="27" spans="2:3" x14ac:dyDescent="0.25">
      <c r="B27" s="24" t="s">
        <v>47</v>
      </c>
      <c r="C27" s="33">
        <f>'Master Alloy Sheet'!C23</f>
        <v>1643.2</v>
      </c>
    </row>
    <row r="28" spans="2:3" x14ac:dyDescent="0.25">
      <c r="B28" s="24" t="s">
        <v>58</v>
      </c>
      <c r="C28" s="33">
        <f>'Master Alloy Sheet'!C24</f>
        <v>1618.4</v>
      </c>
    </row>
    <row r="29" spans="2:3" x14ac:dyDescent="0.25">
      <c r="B29" s="24" t="s">
        <v>48</v>
      </c>
      <c r="C29" s="33">
        <f>'Master Alloy Sheet'!C25</f>
        <v>1605.4</v>
      </c>
    </row>
    <row r="30" spans="2:3" x14ac:dyDescent="0.25">
      <c r="B30" s="24" t="s">
        <v>31</v>
      </c>
      <c r="C30" s="33">
        <f>'Master Alloy Sheet'!C26</f>
        <v>1530.8000000000002</v>
      </c>
    </row>
    <row r="31" spans="2:3" x14ac:dyDescent="0.25">
      <c r="B31" s="24" t="s">
        <v>32</v>
      </c>
      <c r="C31" s="33">
        <f>'Master Alloy Sheet'!C27</f>
        <v>1526.6000000000001</v>
      </c>
    </row>
    <row r="32" spans="2:3" ht="13.5" thickBot="1" x14ac:dyDescent="0.3">
      <c r="B32" s="25" t="s">
        <v>49</v>
      </c>
      <c r="C32" s="34">
        <f>'Master Alloy Sheet'!C28</f>
        <v>1528.6000000000001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1255.8000000000002</v>
      </c>
    </row>
    <row r="35" spans="2:3" x14ac:dyDescent="0.25">
      <c r="B35" s="24" t="s">
        <v>51</v>
      </c>
      <c r="C35" s="33">
        <f>'Master Alloy Sheet'!C31</f>
        <v>1159.4000000000001</v>
      </c>
    </row>
    <row r="36" spans="2:3" x14ac:dyDescent="0.25">
      <c r="B36" s="24" t="s">
        <v>52</v>
      </c>
      <c r="C36" s="33">
        <f>'Master Alloy Sheet'!C32</f>
        <v>1134.6000000000001</v>
      </c>
    </row>
    <row r="37" spans="2:3" x14ac:dyDescent="0.25">
      <c r="B37" s="24" t="s">
        <v>53</v>
      </c>
      <c r="C37" s="33">
        <f>'Master Alloy Sheet'!C33</f>
        <v>1109.8</v>
      </c>
    </row>
    <row r="38" spans="2:3" x14ac:dyDescent="0.25">
      <c r="B38" s="24" t="s">
        <v>54</v>
      </c>
      <c r="C38" s="33">
        <f>'Master Alloy Sheet'!C34</f>
        <v>1085</v>
      </c>
    </row>
    <row r="39" spans="2:3" x14ac:dyDescent="0.25">
      <c r="B39" s="24" t="s">
        <v>55</v>
      </c>
      <c r="C39" s="33">
        <f>'Master Alloy Sheet'!C35</f>
        <v>1060</v>
      </c>
    </row>
    <row r="40" spans="2:3" x14ac:dyDescent="0.25">
      <c r="B40" s="24" t="s">
        <v>56</v>
      </c>
      <c r="C40" s="33">
        <f>'Master Alloy Sheet'!C36</f>
        <v>1041.2</v>
      </c>
    </row>
    <row r="41" spans="2:3" x14ac:dyDescent="0.25">
      <c r="B41" s="24" t="s">
        <v>33</v>
      </c>
      <c r="C41" s="33">
        <f>'Master Alloy Sheet'!C37</f>
        <v>987</v>
      </c>
    </row>
    <row r="42" spans="2:3" x14ac:dyDescent="0.25">
      <c r="B42" s="24" t="s">
        <v>34</v>
      </c>
      <c r="C42" s="33">
        <f>'Master Alloy Sheet'!C38</f>
        <v>983</v>
      </c>
    </row>
    <row r="43" spans="2:3" ht="13.5" thickBot="1" x14ac:dyDescent="0.3">
      <c r="B43" s="25" t="s">
        <v>57</v>
      </c>
      <c r="C43" s="34">
        <f>'Master Alloy Sheet'!C39</f>
        <v>985.2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49.400000000000006</v>
      </c>
    </row>
    <row r="46" spans="2:3" x14ac:dyDescent="0.25">
      <c r="B46" s="24" t="s">
        <v>18</v>
      </c>
      <c r="C46" s="33">
        <f>'Master Alloy Sheet'!C42</f>
        <v>46</v>
      </c>
    </row>
    <row r="47" spans="2:3" x14ac:dyDescent="0.25">
      <c r="B47" s="24" t="s">
        <v>59</v>
      </c>
      <c r="C47" s="33">
        <f>'Master Alloy Sheet'!C43</f>
        <v>45.800000000000004</v>
      </c>
    </row>
    <row r="48" spans="2:3" ht="13.5" thickBot="1" x14ac:dyDescent="0.3">
      <c r="B48" s="25" t="s">
        <v>60</v>
      </c>
      <c r="C48" s="34">
        <f>'Master Alloy Sheet'!C44</f>
        <v>141.4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1276.4000000000001</v>
      </c>
    </row>
    <row r="51" spans="2:3" x14ac:dyDescent="0.25">
      <c r="B51" s="24" t="s">
        <v>62</v>
      </c>
      <c r="C51" s="33">
        <f>'Master Alloy Sheet'!C47</f>
        <v>1342.8000000000002</v>
      </c>
    </row>
    <row r="52" spans="2:3" ht="13.5" thickBot="1" x14ac:dyDescent="0.3">
      <c r="B52" s="25" t="s">
        <v>63</v>
      </c>
      <c r="C52" s="34">
        <f>'Master Alloy Sheet'!C48</f>
        <v>1212.8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1042</v>
      </c>
    </row>
    <row r="55" spans="2:3" x14ac:dyDescent="0.25">
      <c r="B55" s="24" t="s">
        <v>65</v>
      </c>
      <c r="C55" s="33">
        <f>'Master Alloy Sheet'!C51</f>
        <v>1120</v>
      </c>
    </row>
    <row r="56" spans="2:3" ht="13.5" thickBot="1" x14ac:dyDescent="0.3">
      <c r="B56" s="25" t="s">
        <v>66</v>
      </c>
      <c r="C56" s="34">
        <f>'Master Alloy Sheet'!C52</f>
        <v>990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2602.4490000000001</v>
      </c>
      <c r="G1" s="16" t="s">
        <v>11</v>
      </c>
      <c r="H1" s="17">
        <f>Cost!C6</f>
        <v>1276.5500000000002</v>
      </c>
      <c r="I1" s="16" t="s">
        <v>0</v>
      </c>
      <c r="J1" s="17">
        <f>Cost!C7</f>
        <v>1042.1121250000001</v>
      </c>
      <c r="K1" s="16" t="s">
        <v>1</v>
      </c>
      <c r="L1" s="17">
        <f>Cost!C8</f>
        <v>49.568249999999999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2602.25</v>
      </c>
      <c r="E2" s="18">
        <v>100</v>
      </c>
      <c r="F2" s="15">
        <f>F$1/100*E2</f>
        <v>2602.4490000000001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2496.2000000000003</v>
      </c>
      <c r="E4" s="18">
        <v>92</v>
      </c>
      <c r="F4" s="15">
        <f t="shared" ref="F4:F52" si="0">F$1/100*E4</f>
        <v>2394.25308</v>
      </c>
      <c r="G4" s="18">
        <v>8</v>
      </c>
      <c r="H4" s="15">
        <f t="shared" ref="H4:H52" si="1">H$1/100*G4</f>
        <v>102.12400000000001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2398.2000000000003</v>
      </c>
      <c r="E5" s="18">
        <v>92</v>
      </c>
      <c r="F5" s="15">
        <f t="shared" si="0"/>
        <v>2394.25308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3.9654599999999998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2394.4</v>
      </c>
      <c r="E6" s="18">
        <v>92</v>
      </c>
      <c r="F6" s="15">
        <f t="shared" si="0"/>
        <v>2394.25308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2218.2000000000003</v>
      </c>
      <c r="E8" s="18">
        <v>75.399999999999991</v>
      </c>
      <c r="F8" s="15">
        <f t="shared" si="0"/>
        <v>1962.2465459999999</v>
      </c>
      <c r="G8" s="18">
        <v>20</v>
      </c>
      <c r="H8" s="15">
        <f t="shared" si="1"/>
        <v>255.31000000000003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0.79309199999999991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2171.4</v>
      </c>
      <c r="E9" s="18">
        <v>75.399999999999991</v>
      </c>
      <c r="F9" s="15">
        <f t="shared" si="0"/>
        <v>1962.2465459999999</v>
      </c>
      <c r="G9" s="18">
        <v>0</v>
      </c>
      <c r="H9" s="15">
        <f t="shared" si="1"/>
        <v>0</v>
      </c>
      <c r="I9" s="18">
        <v>20</v>
      </c>
      <c r="J9" s="15">
        <f t="shared" si="2"/>
        <v>208.422425</v>
      </c>
      <c r="K9" s="18">
        <v>1.5999999999999999</v>
      </c>
      <c r="L9" s="15">
        <f t="shared" si="3"/>
        <v>0.79309199999999991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2146.6</v>
      </c>
      <c r="E10" s="18">
        <v>75.399999999999991</v>
      </c>
      <c r="F10" s="15">
        <f t="shared" si="0"/>
        <v>1962.2465459999999</v>
      </c>
      <c r="G10" s="18">
        <v>0</v>
      </c>
      <c r="H10" s="15">
        <f t="shared" si="1"/>
        <v>0</v>
      </c>
      <c r="I10" s="18">
        <v>17.5</v>
      </c>
      <c r="J10" s="15">
        <f t="shared" si="2"/>
        <v>182.36962187500001</v>
      </c>
      <c r="K10" s="18">
        <v>4.1000000000000005</v>
      </c>
      <c r="L10" s="15">
        <f t="shared" si="3"/>
        <v>2.0322982500000002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2121.8000000000002</v>
      </c>
      <c r="E11" s="18">
        <v>75.399999999999991</v>
      </c>
      <c r="F11" s="15">
        <f t="shared" si="0"/>
        <v>1962.2465459999999</v>
      </c>
      <c r="G11" s="18">
        <v>0</v>
      </c>
      <c r="H11" s="15">
        <f t="shared" si="1"/>
        <v>0</v>
      </c>
      <c r="I11" s="18">
        <v>15</v>
      </c>
      <c r="J11" s="15">
        <f t="shared" si="2"/>
        <v>156.31681875000001</v>
      </c>
      <c r="K11" s="18">
        <v>6.6000000000000005</v>
      </c>
      <c r="L11" s="15">
        <f t="shared" si="3"/>
        <v>3.2715045000000003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2097</v>
      </c>
      <c r="E12" s="18">
        <v>75.399999999999991</v>
      </c>
      <c r="F12" s="15">
        <f t="shared" si="0"/>
        <v>1962.2465459999999</v>
      </c>
      <c r="G12" s="18">
        <v>0</v>
      </c>
      <c r="H12" s="15">
        <f t="shared" si="1"/>
        <v>0</v>
      </c>
      <c r="I12" s="18">
        <v>12.5</v>
      </c>
      <c r="J12" s="15">
        <f t="shared" si="2"/>
        <v>130.26401562500001</v>
      </c>
      <c r="K12" s="18">
        <v>9.1</v>
      </c>
      <c r="L12" s="15">
        <f t="shared" si="3"/>
        <v>4.5107107499999994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2072.2000000000003</v>
      </c>
      <c r="E13" s="18">
        <v>75.399999999999991</v>
      </c>
      <c r="F13" s="15">
        <f t="shared" si="0"/>
        <v>1962.2465459999999</v>
      </c>
      <c r="G13" s="18">
        <v>0</v>
      </c>
      <c r="H13" s="15">
        <f t="shared" si="1"/>
        <v>0</v>
      </c>
      <c r="I13" s="18">
        <v>10</v>
      </c>
      <c r="J13" s="15">
        <f t="shared" si="2"/>
        <v>104.2112125</v>
      </c>
      <c r="K13" s="18">
        <v>11.6</v>
      </c>
      <c r="L13" s="15">
        <f t="shared" si="3"/>
        <v>5.7499169999999991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2065</v>
      </c>
      <c r="E14" s="18">
        <v>75.399999999999991</v>
      </c>
      <c r="F14" s="15">
        <f t="shared" si="0"/>
        <v>1962.2465459999999</v>
      </c>
      <c r="G14" s="18">
        <v>7.5</v>
      </c>
      <c r="H14" s="15">
        <f t="shared" si="1"/>
        <v>95.741250000000008</v>
      </c>
      <c r="I14" s="18">
        <v>0</v>
      </c>
      <c r="J14" s="15">
        <f t="shared" si="2"/>
        <v>0</v>
      </c>
      <c r="K14" s="18">
        <v>14.1</v>
      </c>
      <c r="L14" s="15">
        <f t="shared" si="3"/>
        <v>6.9891232499999996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1967.8000000000002</v>
      </c>
      <c r="E15" s="18">
        <v>75.399999999999991</v>
      </c>
      <c r="F15" s="15">
        <f t="shared" si="0"/>
        <v>1962.2465459999999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5.4029392500000002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1963.4</v>
      </c>
      <c r="E16" s="18">
        <v>75.399999999999991</v>
      </c>
      <c r="F16" s="15">
        <f t="shared" si="0"/>
        <v>1962.2465459999999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0.69395549999999995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1965.4</v>
      </c>
      <c r="E17" s="18">
        <v>75.399999999999991</v>
      </c>
      <c r="F17" s="15">
        <f t="shared" si="0"/>
        <v>1962.2465459999999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2.9245267500000001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1789.4</v>
      </c>
      <c r="E19" s="18">
        <v>58.6</v>
      </c>
      <c r="F19" s="15">
        <f t="shared" si="0"/>
        <v>1525.035114</v>
      </c>
      <c r="G19" s="18">
        <v>20</v>
      </c>
      <c r="H19" s="15">
        <f t="shared" si="1"/>
        <v>255.31000000000003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9.1205579999999991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1717.8000000000002</v>
      </c>
      <c r="E20" s="18">
        <v>58.6</v>
      </c>
      <c r="F20" s="15">
        <f t="shared" si="0"/>
        <v>1525.035114</v>
      </c>
      <c r="G20" s="18">
        <v>0</v>
      </c>
      <c r="H20" s="15">
        <f t="shared" si="1"/>
        <v>0</v>
      </c>
      <c r="I20" s="18">
        <v>17.5</v>
      </c>
      <c r="J20" s="15">
        <f t="shared" si="2"/>
        <v>182.36962187500001</v>
      </c>
      <c r="K20" s="18">
        <v>20.9</v>
      </c>
      <c r="L20" s="15">
        <f t="shared" si="3"/>
        <v>10.35976425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1693</v>
      </c>
      <c r="E21" s="18">
        <v>58.6</v>
      </c>
      <c r="F21" s="15">
        <f t="shared" si="0"/>
        <v>1525.035114</v>
      </c>
      <c r="G21" s="18">
        <v>0</v>
      </c>
      <c r="H21" s="15">
        <f t="shared" si="1"/>
        <v>0</v>
      </c>
      <c r="I21" s="18">
        <v>15</v>
      </c>
      <c r="J21" s="15">
        <f t="shared" si="2"/>
        <v>156.31681875000001</v>
      </c>
      <c r="K21" s="18">
        <v>23.4</v>
      </c>
      <c r="L21" s="15">
        <f t="shared" si="3"/>
        <v>11.598970499999998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1668</v>
      </c>
      <c r="E22" s="18">
        <v>58.6</v>
      </c>
      <c r="F22" s="15">
        <f t="shared" si="0"/>
        <v>1525.035114</v>
      </c>
      <c r="G22" s="18">
        <v>0</v>
      </c>
      <c r="H22" s="15">
        <f t="shared" si="1"/>
        <v>0</v>
      </c>
      <c r="I22" s="18">
        <v>12.5</v>
      </c>
      <c r="J22" s="15">
        <f t="shared" si="2"/>
        <v>130.26401562500001</v>
      </c>
      <c r="K22" s="18">
        <v>25.9</v>
      </c>
      <c r="L22" s="15">
        <f t="shared" si="3"/>
        <v>12.838176749999999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1643.2</v>
      </c>
      <c r="E23" s="18">
        <v>58.6</v>
      </c>
      <c r="F23" s="15">
        <f t="shared" si="0"/>
        <v>1525.035114</v>
      </c>
      <c r="G23" s="18">
        <v>0</v>
      </c>
      <c r="H23" s="15">
        <f t="shared" si="1"/>
        <v>0</v>
      </c>
      <c r="I23" s="18">
        <v>10</v>
      </c>
      <c r="J23" s="15">
        <f t="shared" si="2"/>
        <v>104.2112125</v>
      </c>
      <c r="K23" s="18">
        <v>28.4</v>
      </c>
      <c r="L23" s="15">
        <f t="shared" si="3"/>
        <v>14.077382999999999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1618.4</v>
      </c>
      <c r="E24" s="18">
        <v>58.6</v>
      </c>
      <c r="F24" s="15">
        <f t="shared" si="0"/>
        <v>1525.035114</v>
      </c>
      <c r="G24" s="18">
        <v>0</v>
      </c>
      <c r="H24" s="15">
        <f t="shared" si="1"/>
        <v>0</v>
      </c>
      <c r="I24" s="18">
        <v>7.5</v>
      </c>
      <c r="J24" s="15">
        <f t="shared" si="2"/>
        <v>78.158409375000005</v>
      </c>
      <c r="K24" s="18">
        <v>30.9</v>
      </c>
      <c r="L24" s="15">
        <f t="shared" si="3"/>
        <v>15.316589249999998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1605.4</v>
      </c>
      <c r="E25" s="18">
        <v>58.6</v>
      </c>
      <c r="F25" s="15">
        <f t="shared" si="0"/>
        <v>1525.035114</v>
      </c>
      <c r="G25" s="18">
        <v>5</v>
      </c>
      <c r="H25" s="15">
        <f t="shared" si="1"/>
        <v>63.827500000000008</v>
      </c>
      <c r="I25" s="18">
        <v>0</v>
      </c>
      <c r="J25" s="15">
        <f t="shared" si="2"/>
        <v>0</v>
      </c>
      <c r="K25" s="18">
        <v>33.4</v>
      </c>
      <c r="L25" s="15">
        <f t="shared" si="3"/>
        <v>16.555795499999999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1530.8000000000002</v>
      </c>
      <c r="E26" s="18">
        <v>58.6</v>
      </c>
      <c r="F26" s="15">
        <f t="shared" si="0"/>
        <v>1525.035114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5.1550979999999997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1526.6000000000001</v>
      </c>
      <c r="E27" s="18">
        <v>58.6</v>
      </c>
      <c r="F27" s="15">
        <f t="shared" si="0"/>
        <v>1525.035114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0.69395549999999995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1528.6000000000001</v>
      </c>
      <c r="E28" s="18">
        <v>58.6</v>
      </c>
      <c r="F28" s="15">
        <f t="shared" si="0"/>
        <v>1525.035114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2.9245267500000001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1255.8000000000002</v>
      </c>
      <c r="E30" s="18">
        <v>37.700000000000003</v>
      </c>
      <c r="F30" s="15">
        <f t="shared" si="0"/>
        <v>981.12327300000004</v>
      </c>
      <c r="G30" s="18">
        <v>20</v>
      </c>
      <c r="H30" s="15">
        <f t="shared" si="1"/>
        <v>255.31000000000003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19.480322249999997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1159.4000000000001</v>
      </c>
      <c r="E31" s="18">
        <v>37.700000000000003</v>
      </c>
      <c r="F31" s="15">
        <f t="shared" si="0"/>
        <v>981.12327300000004</v>
      </c>
      <c r="G31" s="18">
        <v>0</v>
      </c>
      <c r="H31" s="15">
        <f t="shared" si="1"/>
        <v>0</v>
      </c>
      <c r="I31" s="18">
        <v>15</v>
      </c>
      <c r="J31" s="15">
        <f t="shared" si="2"/>
        <v>156.31681875000001</v>
      </c>
      <c r="K31" s="18">
        <v>44.3</v>
      </c>
      <c r="L31" s="15">
        <f t="shared" si="3"/>
        <v>21.958734749999998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1134.6000000000001</v>
      </c>
      <c r="E32" s="18">
        <v>37.700000000000003</v>
      </c>
      <c r="F32" s="15">
        <f t="shared" si="0"/>
        <v>981.12327300000004</v>
      </c>
      <c r="G32" s="18">
        <v>0</v>
      </c>
      <c r="H32" s="15">
        <f t="shared" si="1"/>
        <v>0</v>
      </c>
      <c r="I32" s="18">
        <v>12.5</v>
      </c>
      <c r="J32" s="15">
        <f t="shared" si="2"/>
        <v>130.26401562500001</v>
      </c>
      <c r="K32" s="18">
        <v>46.8</v>
      </c>
      <c r="L32" s="15">
        <f t="shared" si="3"/>
        <v>23.197940999999997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1109.8</v>
      </c>
      <c r="E33" s="18">
        <v>37.700000000000003</v>
      </c>
      <c r="F33" s="15">
        <f t="shared" si="0"/>
        <v>981.12327300000004</v>
      </c>
      <c r="G33" s="18">
        <v>0</v>
      </c>
      <c r="H33" s="15">
        <f t="shared" si="1"/>
        <v>0</v>
      </c>
      <c r="I33" s="18">
        <v>10</v>
      </c>
      <c r="J33" s="15">
        <f t="shared" si="2"/>
        <v>104.2112125</v>
      </c>
      <c r="K33" s="18">
        <v>49.3</v>
      </c>
      <c r="L33" s="15">
        <f t="shared" si="3"/>
        <v>24.437147249999999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1085</v>
      </c>
      <c r="E34" s="18">
        <v>37.700000000000003</v>
      </c>
      <c r="F34" s="15">
        <f t="shared" si="0"/>
        <v>981.12327300000004</v>
      </c>
      <c r="G34" s="18">
        <v>0</v>
      </c>
      <c r="H34" s="15">
        <f t="shared" si="1"/>
        <v>0</v>
      </c>
      <c r="I34" s="18">
        <v>7.5</v>
      </c>
      <c r="J34" s="15">
        <f t="shared" si="2"/>
        <v>78.158409375000005</v>
      </c>
      <c r="K34" s="18">
        <v>51.8</v>
      </c>
      <c r="L34" s="15">
        <f t="shared" si="3"/>
        <v>25.676353499999998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1060</v>
      </c>
      <c r="E35" s="18">
        <v>37.700000000000003</v>
      </c>
      <c r="F35" s="15">
        <f t="shared" si="0"/>
        <v>981.12327300000004</v>
      </c>
      <c r="G35" s="18">
        <v>0</v>
      </c>
      <c r="H35" s="15">
        <f t="shared" si="1"/>
        <v>0</v>
      </c>
      <c r="I35" s="18">
        <v>5</v>
      </c>
      <c r="J35" s="15">
        <f t="shared" si="2"/>
        <v>52.105606250000001</v>
      </c>
      <c r="K35" s="18">
        <v>54.3</v>
      </c>
      <c r="L35" s="15">
        <f t="shared" si="3"/>
        <v>26.915559749999996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1041.2</v>
      </c>
      <c r="E36" s="18">
        <v>37.700000000000003</v>
      </c>
      <c r="F36" s="15">
        <f t="shared" si="0"/>
        <v>981.12327300000004</v>
      </c>
      <c r="G36" s="18">
        <v>2.5</v>
      </c>
      <c r="H36" s="15">
        <f t="shared" si="1"/>
        <v>31.913750000000004</v>
      </c>
      <c r="I36" s="18">
        <v>0</v>
      </c>
      <c r="J36" s="15">
        <f t="shared" si="2"/>
        <v>0</v>
      </c>
      <c r="K36" s="18">
        <v>56.8</v>
      </c>
      <c r="L36" s="15">
        <f t="shared" si="3"/>
        <v>28.154765999999999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987</v>
      </c>
      <c r="E37" s="18">
        <v>37.700000000000003</v>
      </c>
      <c r="F37" s="15">
        <f t="shared" si="0"/>
        <v>981.12327300000004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4.9072567500000002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983</v>
      </c>
      <c r="E38" s="18">
        <v>37.700000000000003</v>
      </c>
      <c r="F38" s="15">
        <f t="shared" si="0"/>
        <v>981.12327300000004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0.69395549999999995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985.2</v>
      </c>
      <c r="E39" s="18">
        <v>37.700000000000003</v>
      </c>
      <c r="F39" s="15">
        <f t="shared" si="0"/>
        <v>981.12327300000004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2.8749585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49.400000000000006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49.568249999999999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45.850631249999999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45.800000000000004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45.850631249999999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141.4</v>
      </c>
      <c r="E44" s="18">
        <v>0</v>
      </c>
      <c r="F44" s="15">
        <f t="shared" si="0"/>
        <v>0</v>
      </c>
      <c r="G44" s="18">
        <v>7.5</v>
      </c>
      <c r="H44" s="15">
        <f t="shared" si="1"/>
        <v>95.741250000000008</v>
      </c>
      <c r="I44" s="18">
        <v>0</v>
      </c>
      <c r="J44" s="15">
        <f t="shared" si="2"/>
        <v>0</v>
      </c>
      <c r="K44" s="18">
        <v>92.5</v>
      </c>
      <c r="L44" s="15">
        <f t="shared" si="3"/>
        <v>45.850631249999999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1276.4000000000001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1276.5500000000002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1342.8000000000002</v>
      </c>
      <c r="E47" s="18">
        <v>5</v>
      </c>
      <c r="F47" s="15">
        <f t="shared" si="0"/>
        <v>130.12245000000001</v>
      </c>
      <c r="G47" s="18">
        <v>95</v>
      </c>
      <c r="H47" s="15">
        <f t="shared" si="1"/>
        <v>1212.7225000000001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1212.8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1212.7225000000001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1042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1042.1121250000001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1120</v>
      </c>
      <c r="E51" s="18">
        <v>5</v>
      </c>
      <c r="F51" s="15">
        <f t="shared" si="0"/>
        <v>130.12245000000001</v>
      </c>
      <c r="G51" s="18">
        <v>0</v>
      </c>
      <c r="H51" s="15">
        <f t="shared" si="1"/>
        <v>0</v>
      </c>
      <c r="I51" s="18">
        <v>95</v>
      </c>
      <c r="J51" s="15">
        <f t="shared" si="2"/>
        <v>990.00651875000005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990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990.00651875000005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2026-04-22T06:05:21Z</cp:lastPrinted>
  <dcterms:created xsi:type="dcterms:W3CDTF">2017-08-28T10:58:39Z</dcterms:created>
  <dcterms:modified xsi:type="dcterms:W3CDTF">2026-04-22T06:14:37Z</dcterms:modified>
</cp:coreProperties>
</file>