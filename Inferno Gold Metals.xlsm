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-pc\Dropbox\Cashflow\Sheets needing revision\Inferno-Prices\"/>
    </mc:Choice>
  </mc:AlternateContent>
  <xr:revisionPtr revIDLastSave="0" documentId="13_ncr:1_{B5868573-DB63-4226-B744-513FCE39463F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ost" sheetId="6" r:id="rId1"/>
    <sheet name="Master_Alloy_Prices" sheetId="17" r:id="rId2"/>
    <sheet name="Master Alloy Mix" sheetId="7" r:id="rId3"/>
    <sheet name="Correction Alloy Mix" sheetId="16" r:id="rId4"/>
    <sheet name="Master Alloy Sheet" sheetId="2" r:id="rId5"/>
  </sheets>
  <definedNames>
    <definedName name="List">'Master Alloy Sheet'!#REF!</definedName>
    <definedName name="List_1">'Master Alloy Sheet'!$A$2:$A$52</definedName>
    <definedName name="Table">'Master Alloy Sheet'!#REF!</definedName>
    <definedName name="Table_1">'Master Alloy Sheet'!$A$2:$P$52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5" i="6" l="1"/>
  <c r="C6" i="17" s="1"/>
  <c r="C8" i="6"/>
  <c r="C9" i="6" l="1"/>
  <c r="C10" i="6"/>
  <c r="C7" i="6"/>
  <c r="C6" i="6"/>
  <c r="R48" i="2"/>
  <c r="I7" i="7"/>
  <c r="H7" i="7"/>
  <c r="G7" i="7"/>
  <c r="F7" i="7"/>
  <c r="E7" i="7"/>
  <c r="D7" i="7"/>
  <c r="I5" i="7"/>
  <c r="H5" i="7"/>
  <c r="G5" i="7"/>
  <c r="F5" i="7"/>
  <c r="E5" i="7"/>
  <c r="D5" i="7"/>
  <c r="F2" i="7"/>
  <c r="I2" i="7" l="1"/>
  <c r="H2" i="7"/>
  <c r="G2" i="7"/>
  <c r="E2" i="7"/>
  <c r="D2" i="7"/>
  <c r="I6" i="16"/>
  <c r="H6" i="16"/>
  <c r="G6" i="16"/>
  <c r="F6" i="16"/>
  <c r="E6" i="16"/>
  <c r="D6" i="16"/>
  <c r="R52" i="2"/>
  <c r="R51" i="2"/>
  <c r="R50" i="2"/>
  <c r="R47" i="2"/>
  <c r="R46" i="2"/>
  <c r="R44" i="2"/>
  <c r="R43" i="2"/>
  <c r="R42" i="2"/>
  <c r="R41" i="2"/>
  <c r="R39" i="2"/>
  <c r="R38" i="2"/>
  <c r="R37" i="2"/>
  <c r="R36" i="2"/>
  <c r="R35" i="2"/>
  <c r="R34" i="2"/>
  <c r="R33" i="2"/>
  <c r="R32" i="2"/>
  <c r="R31" i="2"/>
  <c r="R30" i="2"/>
  <c r="R28" i="2"/>
  <c r="R27" i="2"/>
  <c r="R26" i="2"/>
  <c r="R25" i="2"/>
  <c r="R24" i="2"/>
  <c r="R23" i="2"/>
  <c r="R22" i="2"/>
  <c r="R21" i="2"/>
  <c r="R20" i="2"/>
  <c r="R19" i="2"/>
  <c r="R17" i="2"/>
  <c r="R16" i="2"/>
  <c r="R15" i="2"/>
  <c r="R14" i="2"/>
  <c r="R13" i="2"/>
  <c r="R12" i="2"/>
  <c r="R11" i="2"/>
  <c r="R10" i="2"/>
  <c r="R9" i="2"/>
  <c r="R8" i="2"/>
  <c r="R6" i="2"/>
  <c r="R5" i="2"/>
  <c r="R4" i="2"/>
  <c r="R2" i="2"/>
  <c r="B2" i="17"/>
  <c r="F1" i="2"/>
  <c r="J1" i="2"/>
  <c r="H1" i="2"/>
  <c r="J2" i="16"/>
  <c r="K2" i="16" s="1"/>
  <c r="E3" i="16"/>
  <c r="F3" i="16"/>
  <c r="G3" i="16"/>
  <c r="H3" i="16"/>
  <c r="I3" i="16"/>
  <c r="D3" i="16"/>
  <c r="P1" i="2"/>
  <c r="N1" i="2"/>
  <c r="L1" i="2"/>
  <c r="H23" i="2" l="1"/>
  <c r="H52" i="2"/>
  <c r="H24" i="2"/>
  <c r="H2" i="2"/>
  <c r="H28" i="2"/>
  <c r="H31" i="2"/>
  <c r="H9" i="2"/>
  <c r="H19" i="2"/>
  <c r="H41" i="2"/>
  <c r="H25" i="2"/>
  <c r="H26" i="2"/>
  <c r="H27" i="2"/>
  <c r="H4" i="2"/>
  <c r="H32" i="2"/>
  <c r="H36" i="2"/>
  <c r="H14" i="2"/>
  <c r="H44" i="2"/>
  <c r="H22" i="2"/>
  <c r="H5" i="2"/>
  <c r="H38" i="2"/>
  <c r="H13" i="2"/>
  <c r="H42" i="2"/>
  <c r="H16" i="2"/>
  <c r="H20" i="2"/>
  <c r="H47" i="2"/>
  <c r="H51" i="2"/>
  <c r="H33" i="2"/>
  <c r="H50" i="2"/>
  <c r="H48" i="2"/>
  <c r="H34" i="2"/>
  <c r="H10" i="2"/>
  <c r="H11" i="2"/>
  <c r="H30" i="2"/>
  <c r="H8" i="2"/>
  <c r="H35" i="2"/>
  <c r="H17" i="2"/>
  <c r="H6" i="2"/>
  <c r="H12" i="2"/>
  <c r="H39" i="2"/>
  <c r="H15" i="2"/>
  <c r="H46" i="2"/>
  <c r="H21" i="2"/>
  <c r="H37" i="2"/>
  <c r="H43" i="2"/>
  <c r="J13" i="2"/>
  <c r="J31" i="2"/>
  <c r="J51" i="2"/>
  <c r="J32" i="2"/>
  <c r="J52" i="2"/>
  <c r="J15" i="2"/>
  <c r="J33" i="2"/>
  <c r="J16" i="2"/>
  <c r="J34" i="2"/>
  <c r="J17" i="2"/>
  <c r="J35" i="2"/>
  <c r="J36" i="2"/>
  <c r="J20" i="2"/>
  <c r="J37" i="2"/>
  <c r="J21" i="2"/>
  <c r="J38" i="2"/>
  <c r="J44" i="2"/>
  <c r="J11" i="2"/>
  <c r="J14" i="2"/>
  <c r="J19" i="2"/>
  <c r="J48" i="2"/>
  <c r="J6" i="2"/>
  <c r="J25" i="2"/>
  <c r="J26" i="2"/>
  <c r="J27" i="2"/>
  <c r="J47" i="2"/>
  <c r="J30" i="2"/>
  <c r="J4" i="2"/>
  <c r="J22" i="2"/>
  <c r="J39" i="2"/>
  <c r="J23" i="2"/>
  <c r="J24" i="2"/>
  <c r="J42" i="2"/>
  <c r="J8" i="2"/>
  <c r="J43" i="2"/>
  <c r="J9" i="2"/>
  <c r="J46" i="2"/>
  <c r="J28" i="2"/>
  <c r="J50" i="2"/>
  <c r="J5" i="2"/>
  <c r="J41" i="2"/>
  <c r="J10" i="2"/>
  <c r="J12" i="2"/>
  <c r="N15" i="2"/>
  <c r="N33" i="2"/>
  <c r="N16" i="2"/>
  <c r="N34" i="2"/>
  <c r="N17" i="2"/>
  <c r="N35" i="2"/>
  <c r="N19" i="2"/>
  <c r="N36" i="2"/>
  <c r="N48" i="2"/>
  <c r="N20" i="2"/>
  <c r="N37" i="2"/>
  <c r="N21" i="2"/>
  <c r="N38" i="2"/>
  <c r="N31" i="2"/>
  <c r="N32" i="2"/>
  <c r="N4" i="2"/>
  <c r="N22" i="2"/>
  <c r="N39" i="2"/>
  <c r="N23" i="2"/>
  <c r="N41" i="2"/>
  <c r="N9" i="2"/>
  <c r="N10" i="2"/>
  <c r="N27" i="2"/>
  <c r="N46" i="2"/>
  <c r="N12" i="2"/>
  <c r="N50" i="2"/>
  <c r="N13" i="2"/>
  <c r="N51" i="2"/>
  <c r="N5" i="2"/>
  <c r="N8" i="2"/>
  <c r="N25" i="2"/>
  <c r="N43" i="2"/>
  <c r="N11" i="2"/>
  <c r="N14" i="2"/>
  <c r="N6" i="2"/>
  <c r="N24" i="2"/>
  <c r="N42" i="2"/>
  <c r="N26" i="2"/>
  <c r="N44" i="2"/>
  <c r="N28" i="2"/>
  <c r="N30" i="2"/>
  <c r="N52" i="2"/>
  <c r="N47" i="2"/>
  <c r="P14" i="2"/>
  <c r="P32" i="2"/>
  <c r="P52" i="2"/>
  <c r="P15" i="2"/>
  <c r="P33" i="2"/>
  <c r="P16" i="2"/>
  <c r="P34" i="2"/>
  <c r="P17" i="2"/>
  <c r="P35" i="2"/>
  <c r="P47" i="2"/>
  <c r="P31" i="2"/>
  <c r="P51" i="2"/>
  <c r="P36" i="2"/>
  <c r="P11" i="2"/>
  <c r="P19" i="2"/>
  <c r="P48" i="2"/>
  <c r="P20" i="2"/>
  <c r="P37" i="2"/>
  <c r="P5" i="2"/>
  <c r="P41" i="2"/>
  <c r="P42" i="2"/>
  <c r="P25" i="2"/>
  <c r="P43" i="2"/>
  <c r="P10" i="2"/>
  <c r="P13" i="2"/>
  <c r="P21" i="2"/>
  <c r="P38" i="2"/>
  <c r="P23" i="2"/>
  <c r="P6" i="2"/>
  <c r="P9" i="2"/>
  <c r="P46" i="2"/>
  <c r="P28" i="2"/>
  <c r="P12" i="2"/>
  <c r="P4" i="2"/>
  <c r="P22" i="2"/>
  <c r="P39" i="2"/>
  <c r="P8" i="2"/>
  <c r="P26" i="2"/>
  <c r="P50" i="2"/>
  <c r="P24" i="2"/>
  <c r="P44" i="2"/>
  <c r="P27" i="2"/>
  <c r="P30" i="2"/>
  <c r="L9" i="2"/>
  <c r="L26" i="2"/>
  <c r="L44" i="2"/>
  <c r="L30" i="2"/>
  <c r="L31" i="2"/>
  <c r="L36" i="2"/>
  <c r="L41" i="2"/>
  <c r="L24" i="2"/>
  <c r="L10" i="2"/>
  <c r="L27" i="2"/>
  <c r="L46" i="2"/>
  <c r="L12" i="2"/>
  <c r="L48" i="2"/>
  <c r="L32" i="2"/>
  <c r="L52" i="2"/>
  <c r="L34" i="2"/>
  <c r="L38" i="2"/>
  <c r="L22" i="2"/>
  <c r="L11" i="2"/>
  <c r="L28" i="2"/>
  <c r="L47" i="2"/>
  <c r="L50" i="2"/>
  <c r="L13" i="2"/>
  <c r="L51" i="2"/>
  <c r="L35" i="2"/>
  <c r="L6" i="2"/>
  <c r="L25" i="2"/>
  <c r="L14" i="2"/>
  <c r="L39" i="2"/>
  <c r="L8" i="2"/>
  <c r="L15" i="2"/>
  <c r="L33" i="2"/>
  <c r="L21" i="2"/>
  <c r="L4" i="2"/>
  <c r="L23" i="2"/>
  <c r="L42" i="2"/>
  <c r="L43" i="2"/>
  <c r="L16" i="2"/>
  <c r="L5" i="2"/>
  <c r="L17" i="2"/>
  <c r="L20" i="2"/>
  <c r="L37" i="2"/>
  <c r="L19" i="2"/>
  <c r="F15" i="2"/>
  <c r="F33" i="2"/>
  <c r="F17" i="2"/>
  <c r="F19" i="2"/>
  <c r="F20" i="2"/>
  <c r="F38" i="2"/>
  <c r="F32" i="2"/>
  <c r="F48" i="2"/>
  <c r="F16" i="2"/>
  <c r="F34" i="2"/>
  <c r="F35" i="2"/>
  <c r="F36" i="2"/>
  <c r="F37" i="2"/>
  <c r="F21" i="2"/>
  <c r="F4" i="2"/>
  <c r="F22" i="2"/>
  <c r="F39" i="2"/>
  <c r="F23" i="2"/>
  <c r="F41" i="2"/>
  <c r="F27" i="2"/>
  <c r="F31" i="2"/>
  <c r="F52" i="2"/>
  <c r="F5" i="2"/>
  <c r="F46" i="2"/>
  <c r="F11" i="2"/>
  <c r="F51" i="2"/>
  <c r="F6" i="2"/>
  <c r="F24" i="2"/>
  <c r="F42" i="2"/>
  <c r="F8" i="2"/>
  <c r="F9" i="2"/>
  <c r="F44" i="2"/>
  <c r="F10" i="2"/>
  <c r="F28" i="2"/>
  <c r="F12" i="2"/>
  <c r="F30" i="2"/>
  <c r="F50" i="2"/>
  <c r="F14" i="2"/>
  <c r="F25" i="2"/>
  <c r="F43" i="2"/>
  <c r="F26" i="2"/>
  <c r="F47" i="2"/>
  <c r="F13" i="2"/>
  <c r="H8" i="16"/>
  <c r="I8" i="16"/>
  <c r="F8" i="16"/>
  <c r="E8" i="16"/>
  <c r="D8" i="16"/>
  <c r="F2" i="2"/>
  <c r="J2" i="2"/>
  <c r="L2" i="2"/>
  <c r="N2" i="2"/>
  <c r="P2" i="2"/>
  <c r="C51" i="2" l="1"/>
  <c r="C55" i="17" s="1"/>
  <c r="C47" i="2"/>
  <c r="C51" i="17" s="1"/>
  <c r="C32" i="2"/>
  <c r="C36" i="17" s="1"/>
  <c r="C4" i="2"/>
  <c r="C8" i="17" s="1"/>
  <c r="C27" i="2"/>
  <c r="C31" i="17" s="1"/>
  <c r="C6" i="2"/>
  <c r="C10" i="17" s="1"/>
  <c r="C30" i="2"/>
  <c r="C34" i="17" s="1"/>
  <c r="C31" i="2"/>
  <c r="C35" i="17" s="1"/>
  <c r="C26" i="2"/>
  <c r="C30" i="17" s="1"/>
  <c r="C10" i="2"/>
  <c r="C14" i="17" s="1"/>
  <c r="C28" i="2"/>
  <c r="C32" i="17" s="1"/>
  <c r="C13" i="2"/>
  <c r="C17" i="17" s="1"/>
  <c r="C11" i="2"/>
  <c r="C15" i="17" s="1"/>
  <c r="C12" i="2"/>
  <c r="C16" i="17" s="1"/>
  <c r="C48" i="2"/>
  <c r="C52" i="17" s="1"/>
  <c r="C19" i="2"/>
  <c r="C23" i="17" s="1"/>
  <c r="C41" i="2"/>
  <c r="C45" i="17" s="1"/>
  <c r="C25" i="2"/>
  <c r="C29" i="17" s="1"/>
  <c r="C9" i="2"/>
  <c r="C13" i="17" s="1"/>
  <c r="C50" i="2"/>
  <c r="C54" i="17" s="1"/>
  <c r="C24" i="2"/>
  <c r="C28" i="17" s="1"/>
  <c r="C23" i="2"/>
  <c r="C27" i="17" s="1"/>
  <c r="C33" i="2"/>
  <c r="C37" i="17" s="1"/>
  <c r="C52" i="2"/>
  <c r="C56" i="17" s="1"/>
  <c r="C37" i="2"/>
  <c r="C41" i="17" s="1"/>
  <c r="C36" i="2"/>
  <c r="C40" i="17" s="1"/>
  <c r="C43" i="2"/>
  <c r="C47" i="17" s="1"/>
  <c r="C35" i="2"/>
  <c r="C39" i="17" s="1"/>
  <c r="C5" i="2"/>
  <c r="C9" i="17" s="1"/>
  <c r="C8" i="2"/>
  <c r="C12" i="17" s="1"/>
  <c r="C17" i="2"/>
  <c r="C21" i="17" s="1"/>
  <c r="C21" i="2"/>
  <c r="C25" i="17" s="1"/>
  <c r="C42" i="2"/>
  <c r="C46" i="17" s="1"/>
  <c r="C34" i="2"/>
  <c r="C38" i="17" s="1"/>
  <c r="C14" i="2"/>
  <c r="C18" i="17" s="1"/>
  <c r="C44" i="2"/>
  <c r="C48" i="17" s="1"/>
  <c r="C46" i="2"/>
  <c r="C50" i="17" s="1"/>
  <c r="C16" i="2"/>
  <c r="C20" i="17" s="1"/>
  <c r="C20" i="2"/>
  <c r="C24" i="17" s="1"/>
  <c r="C39" i="2"/>
  <c r="C43" i="17" s="1"/>
  <c r="C15" i="2"/>
  <c r="C19" i="17" s="1"/>
  <c r="C38" i="2"/>
  <c r="C42" i="17" s="1"/>
  <c r="C22" i="2"/>
  <c r="C26" i="17" s="1"/>
  <c r="C2" i="2"/>
  <c r="K6" i="16"/>
  <c r="J2" i="7" l="1"/>
  <c r="I9" i="7"/>
  <c r="J7" i="7"/>
  <c r="F9" i="7" l="1"/>
  <c r="H9" i="7"/>
  <c r="D9" i="7"/>
  <c r="E9" i="7"/>
  <c r="G9" i="7"/>
  <c r="J5" i="7"/>
  <c r="J9" i="7" l="1"/>
  <c r="A9" i="7" s="1"/>
  <c r="J3" i="16" l="1"/>
  <c r="G8" i="16" l="1"/>
  <c r="K8" i="16" s="1"/>
  <c r="K3" i="16"/>
</calcChain>
</file>

<file path=xl/sharedStrings.xml><?xml version="1.0" encoding="utf-8"?>
<sst xmlns="http://schemas.openxmlformats.org/spreadsheetml/2006/main" count="178" uniqueCount="73">
  <si>
    <t>Pd</t>
  </si>
  <si>
    <t>Ag</t>
  </si>
  <si>
    <t>Cu</t>
  </si>
  <si>
    <t>Zn</t>
  </si>
  <si>
    <t>Total</t>
  </si>
  <si>
    <t>Au</t>
  </si>
  <si>
    <t>Fine Platinum</t>
  </si>
  <si>
    <t>Fine Copper</t>
  </si>
  <si>
    <t>Fine Zinc</t>
  </si>
  <si>
    <t>Fine Palladium</t>
  </si>
  <si>
    <t>Fine Gold</t>
  </si>
  <si>
    <t>Pt</t>
  </si>
  <si>
    <t xml:space="preserve"> Master Alloy Cost</t>
  </si>
  <si>
    <t>Cost</t>
  </si>
  <si>
    <t>Price Excl Vat</t>
  </si>
  <si>
    <t>Master Alloy</t>
  </si>
  <si>
    <t>Grams</t>
  </si>
  <si>
    <t>Fine Silver</t>
  </si>
  <si>
    <t>Sterling Silver</t>
  </si>
  <si>
    <t>Change Alloy From</t>
  </si>
  <si>
    <t>To New Alloy</t>
  </si>
  <si>
    <t>Add</t>
  </si>
  <si>
    <t>Metal</t>
  </si>
  <si>
    <t>Bar</t>
  </si>
  <si>
    <t>Other</t>
  </si>
  <si>
    <t>24ct Fine Gold</t>
  </si>
  <si>
    <t>22ct Standard White Gold</t>
  </si>
  <si>
    <t>22ct Standard Yellow Gold</t>
  </si>
  <si>
    <t>22ct Standard Rose Gold</t>
  </si>
  <si>
    <t>18ct Standard Yellow Gold</t>
  </si>
  <si>
    <t>18ct Standard Rose Gold</t>
  </si>
  <si>
    <t>14ct Standard Yellow Gold</t>
  </si>
  <si>
    <t>14ct Standard Rose Gold</t>
  </si>
  <si>
    <t>9ct Standard Yellow Gold</t>
  </si>
  <si>
    <t>9ct Standard Rose Gold</t>
  </si>
  <si>
    <t>Total Weight</t>
  </si>
  <si>
    <t>18ct White Gold 20,00%PT</t>
  </si>
  <si>
    <t>18ct White Gold 20,00%PD</t>
  </si>
  <si>
    <t>18ct White Gold 17,50%PD</t>
  </si>
  <si>
    <t>18ct White Gold 15,00%PD</t>
  </si>
  <si>
    <t>18ct White Gold 12,50%PD</t>
  </si>
  <si>
    <t>18ct White Gold 10,00%PD</t>
  </si>
  <si>
    <t>18ct White Gold 00,00%PD</t>
  </si>
  <si>
    <t>18ct Standard Peach Gold</t>
  </si>
  <si>
    <t>14ct White Gold 20,00%PT</t>
  </si>
  <si>
    <t>14ct White Gold 15,00%PD</t>
  </si>
  <si>
    <t>14ct White Gold 12,50%PD</t>
  </si>
  <si>
    <t>14ct White Gold 10,00%PD</t>
  </si>
  <si>
    <t>14ct White Gold 00,00%PD</t>
  </si>
  <si>
    <t>14ct Standard Peach Gold</t>
  </si>
  <si>
    <t>9ct White Gold 20,00%PT</t>
  </si>
  <si>
    <t>9ct White Gold 15,00%PD</t>
  </si>
  <si>
    <t>9ct White Gold 12,50%PD</t>
  </si>
  <si>
    <t>9ct White Gold 10,00%PD</t>
  </si>
  <si>
    <t>9ct White Gold 07,50%PD</t>
  </si>
  <si>
    <t>9ct White Gold 05,00%PD</t>
  </si>
  <si>
    <t>9ct White Gold 00,00%PD</t>
  </si>
  <si>
    <t>9ct Standard Peach Gold</t>
  </si>
  <si>
    <t>14ct White Gold 07,50%PD</t>
  </si>
  <si>
    <t>Tarnish Resistant Silver</t>
  </si>
  <si>
    <t>Platinum Silver</t>
  </si>
  <si>
    <t xml:space="preserve">Fine Platinum </t>
  </si>
  <si>
    <t>Platinum AU</t>
  </si>
  <si>
    <t>Platinum CU</t>
  </si>
  <si>
    <t xml:space="preserve">Fine Palladium </t>
  </si>
  <si>
    <t>Palladium AU</t>
  </si>
  <si>
    <t>Palladium CU</t>
  </si>
  <si>
    <t>Mixed Metal</t>
  </si>
  <si>
    <t>MetCon</t>
  </si>
  <si>
    <t>14ct White Gold 17,50%PD</t>
  </si>
  <si>
    <t>Metal / Master Alloy</t>
  </si>
  <si>
    <t>Rand per gram excl VAT/DRC</t>
  </si>
  <si>
    <t>Plat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</si>
</sst>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9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2" fontId="0" fillId="0" borderId="0" xfId="0" applyNumberFormat="1" applyAlignment="1">
      <alignment horizontal="center"/>
    </xf>
    <xf numFmtId="0" fontId="0" fillId="2" borderId="0" xfId="0" applyFill="1"/>
    <xf numFmtId="0" fontId="0" fillId="5" borderId="4" xfId="0" applyFill="1" applyBorder="1"/>
    <xf numFmtId="0" fontId="0" fillId="5" borderId="6" xfId="0" applyFill="1" applyBorder="1"/>
    <xf numFmtId="0" fontId="0" fillId="5" borderId="8" xfId="0" applyFill="1" applyBorder="1"/>
    <xf numFmtId="2" fontId="0" fillId="5" borderId="5" xfId="0" applyNumberFormat="1" applyFill="1" applyBorder="1"/>
    <xf numFmtId="2" fontId="0" fillId="5" borderId="7" xfId="0" applyNumberFormat="1" applyFill="1" applyBorder="1"/>
    <xf numFmtId="2" fontId="0" fillId="5" borderId="9" xfId="0" applyNumberFormat="1" applyFill="1" applyBorder="1"/>
    <xf numFmtId="0" fontId="2" fillId="2" borderId="0" xfId="0" applyFont="1" applyFill="1" applyAlignment="1">
      <alignment vertical="center"/>
    </xf>
    <xf numFmtId="0" fontId="1" fillId="4" borderId="1" xfId="0" applyFont="1" applyFill="1" applyBorder="1" applyAlignment="1">
      <alignment vertical="center"/>
    </xf>
    <xf numFmtId="0" fontId="1" fillId="4" borderId="1" xfId="0" applyFont="1" applyFill="1" applyBorder="1" applyAlignment="1">
      <alignment horizontal="right" vertical="center" wrapText="1"/>
    </xf>
    <xf numFmtId="0" fontId="3" fillId="0" borderId="0" xfId="0" applyFont="1"/>
    <xf numFmtId="2" fontId="3" fillId="0" borderId="0" xfId="0" applyNumberFormat="1" applyFont="1" applyAlignment="1">
      <alignment horizontal="center"/>
    </xf>
    <xf numFmtId="2" fontId="0" fillId="0" borderId="0" xfId="0" applyNumberFormat="1" applyAlignment="1">
      <alignment horizontal="left"/>
    </xf>
    <xf numFmtId="164" fontId="0" fillId="0" borderId="0" xfId="0" applyNumberFormat="1" applyAlignment="1">
      <alignment horizontal="center"/>
    </xf>
    <xf numFmtId="2" fontId="3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4" fontId="3" fillId="0" borderId="0" xfId="0" applyNumberFormat="1" applyFont="1" applyAlignment="1">
      <alignment horizontal="center"/>
    </xf>
    <xf numFmtId="0" fontId="5" fillId="0" borderId="1" xfId="0" applyFont="1" applyBorder="1" applyAlignment="1">
      <alignment horizontal="left" vertical="top" wrapText="1"/>
    </xf>
    <xf numFmtId="0" fontId="5" fillId="0" borderId="1" xfId="0" applyFont="1" applyBorder="1" applyAlignment="1">
      <alignment horizontal="right" vertical="top" wrapText="1"/>
    </xf>
    <xf numFmtId="2" fontId="5" fillId="0" borderId="10" xfId="0" applyNumberFormat="1" applyFont="1" applyBorder="1" applyAlignment="1">
      <alignment horizontal="left" vertical="top"/>
    </xf>
    <xf numFmtId="2" fontId="5" fillId="0" borderId="0" xfId="0" applyNumberFormat="1" applyFont="1" applyAlignment="1">
      <alignment horizontal="left" vertical="top"/>
    </xf>
    <xf numFmtId="2" fontId="5" fillId="0" borderId="4" xfId="0" applyNumberFormat="1" applyFont="1" applyBorder="1" applyAlignment="1">
      <alignment horizontal="left" vertical="top"/>
    </xf>
    <xf numFmtId="2" fontId="5" fillId="0" borderId="6" xfId="0" applyNumberFormat="1" applyFont="1" applyBorder="1" applyAlignment="1">
      <alignment horizontal="left" vertical="top"/>
    </xf>
    <xf numFmtId="2" fontId="5" fillId="0" borderId="8" xfId="0" applyNumberFormat="1" applyFont="1" applyBorder="1" applyAlignment="1">
      <alignment horizontal="left" vertical="top"/>
    </xf>
    <xf numFmtId="0" fontId="5" fillId="0" borderId="0" xfId="0" applyFont="1" applyAlignment="1">
      <alignment horizontal="left" vertical="top"/>
    </xf>
    <xf numFmtId="0" fontId="5" fillId="0" borderId="0" xfId="0" applyFont="1" applyAlignment="1">
      <alignment horizontal="center" vertical="top"/>
    </xf>
    <xf numFmtId="0" fontId="5" fillId="0" borderId="0" xfId="0" applyFont="1" applyAlignment="1">
      <alignment vertical="top"/>
    </xf>
    <xf numFmtId="0" fontId="6" fillId="0" borderId="0" xfId="0" applyFont="1" applyAlignment="1">
      <alignment vertical="top"/>
    </xf>
    <xf numFmtId="2" fontId="5" fillId="0" borderId="11" xfId="0" applyNumberFormat="1" applyFont="1" applyBorder="1" applyAlignment="1">
      <alignment horizontal="right" vertical="top"/>
    </xf>
    <xf numFmtId="2" fontId="5" fillId="0" borderId="0" xfId="0" applyNumberFormat="1" applyFont="1" applyAlignment="1">
      <alignment horizontal="right" vertical="top"/>
    </xf>
    <xf numFmtId="2" fontId="5" fillId="0" borderId="5" xfId="0" applyNumberFormat="1" applyFont="1" applyBorder="1" applyAlignment="1">
      <alignment horizontal="right" vertical="top"/>
    </xf>
    <xf numFmtId="2" fontId="5" fillId="0" borderId="7" xfId="0" applyNumberFormat="1" applyFont="1" applyBorder="1" applyAlignment="1">
      <alignment horizontal="right" vertical="top"/>
    </xf>
    <xf numFmtId="2" fontId="5" fillId="0" borderId="9" xfId="0" applyNumberFormat="1" applyFont="1" applyBorder="1" applyAlignment="1">
      <alignment horizontal="right" vertical="top"/>
    </xf>
    <xf numFmtId="2" fontId="3" fillId="0" borderId="0" xfId="0" applyNumberFormat="1" applyFont="1"/>
    <xf numFmtId="2" fontId="0" fillId="0" borderId="0" xfId="0" applyNumberFormat="1"/>
    <xf numFmtId="0" fontId="7" fillId="5" borderId="6" xfId="0" applyFont="1" applyFill="1" applyBorder="1"/>
    <xf numFmtId="0" fontId="7" fillId="5" borderId="4" xfId="0" applyFont="1" applyFill="1" applyBorder="1"/>
    <xf numFmtId="165" fontId="5" fillId="0" borderId="2" xfId="0" applyNumberFormat="1" applyFont="1" applyBorder="1" applyAlignment="1">
      <alignment horizontal="center" vertical="top"/>
    </xf>
    <xf numFmtId="165" fontId="5" fillId="0" borderId="3" xfId="0" applyNumberFormat="1" applyFont="1" applyBorder="1" applyAlignment="1">
      <alignment horizontal="center" vertical="top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1143000</xdr:colOff>
          <xdr:row>0</xdr:row>
          <xdr:rowOff>161925</xdr:rowOff>
        </xdr:from>
        <xdr:to>
          <xdr:col>5</xdr:col>
          <xdr:colOff>19050</xdr:colOff>
          <xdr:row>2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H10"/>
  <sheetViews>
    <sheetView tabSelected="1" workbookViewId="0">
      <selection activeCell="F5" sqref="F5"/>
    </sheetView>
  </sheetViews>
  <sheetFormatPr defaultColWidth="9.140625" defaultRowHeight="15" x14ac:dyDescent="0.25"/>
  <cols>
    <col min="1" max="1" width="1.42578125" style="2" customWidth="1"/>
    <col min="2" max="2" width="19.140625" style="2" bestFit="1" customWidth="1"/>
    <col min="3" max="3" width="18.28515625" style="2" customWidth="1"/>
    <col min="4" max="4" width="1.42578125" style="2" customWidth="1"/>
    <col min="5" max="5" width="16.42578125" style="2" customWidth="1"/>
    <col min="6" max="11" width="9.140625" style="2" customWidth="1"/>
    <col min="12" max="16384" width="9.140625" style="2"/>
  </cols>
  <sheetData>
    <row r="1" spans="2:8" ht="7.5" customHeight="1" thickBot="1" x14ac:dyDescent="0.3"/>
    <row r="2" spans="2:8" ht="30" customHeight="1" thickBot="1" x14ac:dyDescent="0.3">
      <c r="B2" s="41" t="s">
        <v>13</v>
      </c>
      <c r="C2" s="42"/>
      <c r="F2" s="9"/>
      <c r="G2" s="9"/>
      <c r="H2" s="9"/>
    </row>
    <row r="3" spans="2:8" ht="7.5" customHeight="1" thickBot="1" x14ac:dyDescent="0.3"/>
    <row r="4" spans="2:8" ht="30" customHeight="1" thickBot="1" x14ac:dyDescent="0.3">
      <c r="B4" s="10" t="s">
        <v>22</v>
      </c>
      <c r="C4" s="11" t="s">
        <v>14</v>
      </c>
    </row>
    <row r="5" spans="2:8" x14ac:dyDescent="0.25">
      <c r="B5" s="3" t="s">
        <v>10</v>
      </c>
      <c r="C5" s="6">
        <f>F5*1.0125</f>
        <v>2615.9658749999999</v>
      </c>
      <c r="E5" s="38" t="s">
        <v>68</v>
      </c>
      <c r="F5" s="6">
        <v>2583.67</v>
      </c>
    </row>
    <row r="6" spans="2:8" x14ac:dyDescent="0.25">
      <c r="B6" s="4" t="s">
        <v>6</v>
      </c>
      <c r="C6" s="7">
        <f>F6*1.1</f>
        <v>1235.3879999999999</v>
      </c>
      <c r="E6" s="37" t="s">
        <v>68</v>
      </c>
      <c r="F6" s="7">
        <v>1123.08</v>
      </c>
    </row>
    <row r="7" spans="2:8" x14ac:dyDescent="0.25">
      <c r="B7" s="4" t="s">
        <v>9</v>
      </c>
      <c r="C7" s="7">
        <f>F7*1.1125</f>
        <v>1004.4651250000001</v>
      </c>
      <c r="E7" s="37" t="s">
        <v>68</v>
      </c>
      <c r="F7" s="7">
        <v>902.89</v>
      </c>
    </row>
    <row r="8" spans="2:8" x14ac:dyDescent="0.25">
      <c r="B8" s="4" t="s">
        <v>17</v>
      </c>
      <c r="C8" s="7">
        <f>F8*1.075</f>
        <v>46.977499999999999</v>
      </c>
      <c r="E8" s="37" t="s">
        <v>68</v>
      </c>
      <c r="F8" s="7">
        <v>43.7</v>
      </c>
    </row>
    <row r="9" spans="2:8" x14ac:dyDescent="0.25">
      <c r="B9" s="4" t="s">
        <v>7</v>
      </c>
      <c r="C9" s="7">
        <f t="shared" ref="C9:C10" si="0">F9*1.1125</f>
        <v>2.2250000000000001</v>
      </c>
      <c r="E9" s="4" t="s">
        <v>7</v>
      </c>
      <c r="F9" s="7">
        <v>2</v>
      </c>
    </row>
    <row r="10" spans="2:8" ht="15.75" thickBot="1" x14ac:dyDescent="0.3">
      <c r="B10" s="5" t="s">
        <v>8</v>
      </c>
      <c r="C10" s="7">
        <f t="shared" si="0"/>
        <v>1.1125</v>
      </c>
      <c r="E10" s="5" t="s">
        <v>8</v>
      </c>
      <c r="F10" s="8">
        <v>1</v>
      </c>
    </row>
  </sheetData>
  <mergeCells count="1">
    <mergeCell ref="B2:C2"/>
  </mergeCells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41CF7-3A30-4725-B184-F5A9FF614B1A}">
  <sheetPr codeName="Sheet2"/>
  <dimension ref="B1:D56"/>
  <sheetViews>
    <sheetView showGridLines="0" topLeftCell="A22" zoomScale="115" zoomScaleNormal="115" workbookViewId="0">
      <selection activeCell="C6" sqref="C6:C56"/>
    </sheetView>
  </sheetViews>
  <sheetFormatPr defaultRowHeight="12.75" x14ac:dyDescent="0.25"/>
  <cols>
    <col min="1" max="1" width="17.28515625" style="28" customWidth="1"/>
    <col min="2" max="2" width="29.5703125" style="26" bestFit="1" customWidth="1"/>
    <col min="3" max="3" width="17.140625" style="27" customWidth="1"/>
    <col min="4" max="4" width="17.28515625" style="28" customWidth="1"/>
    <col min="5" max="16384" width="9.140625" style="28"/>
  </cols>
  <sheetData>
    <row r="1" spans="2:4" ht="13.5" thickBot="1" x14ac:dyDescent="0.3"/>
    <row r="2" spans="2:4" ht="13.5" thickBot="1" x14ac:dyDescent="0.3">
      <c r="B2" s="39">
        <f ca="1">TODAY()</f>
        <v>46120</v>
      </c>
      <c r="C2" s="40"/>
      <c r="D2" s="29"/>
    </row>
    <row r="3" spans="2:4" ht="13.5" thickBot="1" x14ac:dyDescent="0.3"/>
    <row r="4" spans="2:4" ht="28.5" customHeight="1" thickBot="1" x14ac:dyDescent="0.3">
      <c r="B4" s="19" t="s">
        <v>70</v>
      </c>
      <c r="C4" s="20" t="s">
        <v>71</v>
      </c>
    </row>
    <row r="5" spans="2:4" ht="13.5" thickBot="1" x14ac:dyDescent="0.3">
      <c r="B5" s="22"/>
    </row>
    <row r="6" spans="2:4" ht="13.5" thickBot="1" x14ac:dyDescent="0.3">
      <c r="B6" s="21" t="s">
        <v>25</v>
      </c>
      <c r="C6" s="30">
        <f>FLOOR(Cost!C5,0.25)</f>
        <v>2615.75</v>
      </c>
    </row>
    <row r="7" spans="2:4" ht="13.5" thickBot="1" x14ac:dyDescent="0.3">
      <c r="B7" s="22"/>
      <c r="C7" s="31"/>
    </row>
    <row r="8" spans="2:4" x14ac:dyDescent="0.25">
      <c r="B8" s="23" t="s">
        <v>26</v>
      </c>
      <c r="C8" s="32">
        <f>'Master Alloy Sheet'!C4</f>
        <v>2505.4</v>
      </c>
    </row>
    <row r="9" spans="2:4" x14ac:dyDescent="0.25">
      <c r="B9" s="24" t="s">
        <v>27</v>
      </c>
      <c r="C9" s="33">
        <f>'Master Alloy Sheet'!C5</f>
        <v>2410.4</v>
      </c>
    </row>
    <row r="10" spans="2:4" ht="13.5" thickBot="1" x14ac:dyDescent="0.3">
      <c r="B10" s="25" t="s">
        <v>28</v>
      </c>
      <c r="C10" s="34">
        <f>'Master Alloy Sheet'!C6</f>
        <v>2406.8000000000002</v>
      </c>
    </row>
    <row r="11" spans="2:4" ht="13.5" thickBot="1" x14ac:dyDescent="0.3">
      <c r="B11" s="22"/>
      <c r="C11" s="31"/>
    </row>
    <row r="12" spans="2:4" x14ac:dyDescent="0.25">
      <c r="B12" s="23" t="s">
        <v>36</v>
      </c>
      <c r="C12" s="32">
        <f>'Master Alloy Sheet'!C8</f>
        <v>2220.2000000000003</v>
      </c>
    </row>
    <row r="13" spans="2:4" x14ac:dyDescent="0.25">
      <c r="B13" s="24" t="s">
        <v>37</v>
      </c>
      <c r="C13" s="33">
        <f>'Master Alloy Sheet'!C9</f>
        <v>2174</v>
      </c>
    </row>
    <row r="14" spans="2:4" x14ac:dyDescent="0.25">
      <c r="B14" s="24" t="s">
        <v>38</v>
      </c>
      <c r="C14" s="33">
        <f>'Master Alloy Sheet'!C10</f>
        <v>2150</v>
      </c>
    </row>
    <row r="15" spans="2:4" x14ac:dyDescent="0.25">
      <c r="B15" s="24" t="s">
        <v>39</v>
      </c>
      <c r="C15" s="33">
        <f>'Master Alloy Sheet'!C11</f>
        <v>2126.2000000000003</v>
      </c>
    </row>
    <row r="16" spans="2:4" x14ac:dyDescent="0.25">
      <c r="B16" s="24" t="s">
        <v>40</v>
      </c>
      <c r="C16" s="33">
        <f>'Master Alloy Sheet'!C12</f>
        <v>2102.2000000000003</v>
      </c>
    </row>
    <row r="17" spans="2:3" x14ac:dyDescent="0.25">
      <c r="B17" s="24" t="s">
        <v>41</v>
      </c>
      <c r="C17" s="33">
        <f>'Master Alloy Sheet'!C13</f>
        <v>2078.2000000000003</v>
      </c>
    </row>
    <row r="18" spans="2:3" x14ac:dyDescent="0.25">
      <c r="B18" s="24" t="s">
        <v>42</v>
      </c>
      <c r="C18" s="33">
        <f>'Master Alloy Sheet'!C14</f>
        <v>2071.6</v>
      </c>
    </row>
    <row r="19" spans="2:3" x14ac:dyDescent="0.25">
      <c r="B19" s="24" t="s">
        <v>29</v>
      </c>
      <c r="C19" s="33">
        <f>'Master Alloy Sheet'!C15</f>
        <v>1977.8000000000002</v>
      </c>
    </row>
    <row r="20" spans="2:3" x14ac:dyDescent="0.25">
      <c r="B20" s="24" t="s">
        <v>30</v>
      </c>
      <c r="C20" s="33">
        <f>'Master Alloy Sheet'!C16</f>
        <v>1973.4</v>
      </c>
    </row>
    <row r="21" spans="2:3" ht="13.5" thickBot="1" x14ac:dyDescent="0.3">
      <c r="B21" s="25" t="s">
        <v>43</v>
      </c>
      <c r="C21" s="34">
        <f>'Master Alloy Sheet'!C17</f>
        <v>1975.6000000000001</v>
      </c>
    </row>
    <row r="22" spans="2:3" ht="13.5" thickBot="1" x14ac:dyDescent="0.3">
      <c r="B22" s="22"/>
      <c r="C22" s="31"/>
    </row>
    <row r="23" spans="2:3" x14ac:dyDescent="0.25">
      <c r="B23" s="23" t="s">
        <v>44</v>
      </c>
      <c r="C23" s="32">
        <f>'Master Alloy Sheet'!C19</f>
        <v>1788.6000000000001</v>
      </c>
    </row>
    <row r="24" spans="2:3" x14ac:dyDescent="0.25">
      <c r="B24" s="24" t="s">
        <v>69</v>
      </c>
      <c r="C24" s="33">
        <f>'Master Alloy Sheet'!C20</f>
        <v>1718.6000000000001</v>
      </c>
    </row>
    <row r="25" spans="2:3" x14ac:dyDescent="0.25">
      <c r="B25" s="24" t="s">
        <v>45</v>
      </c>
      <c r="C25" s="33">
        <f>'Master Alloy Sheet'!C21</f>
        <v>1694.6000000000001</v>
      </c>
    </row>
    <row r="26" spans="2:3" x14ac:dyDescent="0.25">
      <c r="B26" s="24" t="s">
        <v>46</v>
      </c>
      <c r="C26" s="33">
        <f>'Master Alloy Sheet'!C22</f>
        <v>1670.6000000000001</v>
      </c>
    </row>
    <row r="27" spans="2:3" x14ac:dyDescent="0.25">
      <c r="B27" s="24" t="s">
        <v>47</v>
      </c>
      <c r="C27" s="33">
        <f>'Master Alloy Sheet'!C23</f>
        <v>1646.6000000000001</v>
      </c>
    </row>
    <row r="28" spans="2:3" x14ac:dyDescent="0.25">
      <c r="B28" s="24" t="s">
        <v>58</v>
      </c>
      <c r="C28" s="33">
        <f>'Master Alloy Sheet'!C24</f>
        <v>1622.8000000000002</v>
      </c>
    </row>
    <row r="29" spans="2:3" x14ac:dyDescent="0.25">
      <c r="B29" s="24" t="s">
        <v>48</v>
      </c>
      <c r="C29" s="33">
        <f>'Master Alloy Sheet'!C25</f>
        <v>1610.4</v>
      </c>
    </row>
    <row r="30" spans="2:3" x14ac:dyDescent="0.25">
      <c r="B30" s="24" t="s">
        <v>31</v>
      </c>
      <c r="C30" s="33">
        <f>'Master Alloy Sheet'!C26</f>
        <v>1538.4</v>
      </c>
    </row>
    <row r="31" spans="2:3" x14ac:dyDescent="0.25">
      <c r="B31" s="24" t="s">
        <v>32</v>
      </c>
      <c r="C31" s="33">
        <f>'Master Alloy Sheet'!C27</f>
        <v>1534.4</v>
      </c>
    </row>
    <row r="32" spans="2:3" ht="13.5" thickBot="1" x14ac:dyDescent="0.3">
      <c r="B32" s="25" t="s">
        <v>49</v>
      </c>
      <c r="C32" s="34">
        <f>'Master Alloy Sheet'!C28</f>
        <v>1536.4</v>
      </c>
    </row>
    <row r="33" spans="2:3" ht="13.5" thickBot="1" x14ac:dyDescent="0.3">
      <c r="B33" s="22"/>
      <c r="C33" s="31"/>
    </row>
    <row r="34" spans="2:3" x14ac:dyDescent="0.25">
      <c r="B34" s="23" t="s">
        <v>50</v>
      </c>
      <c r="C34" s="32">
        <f>'Master Alloy Sheet'!C30</f>
        <v>1251.8000000000002</v>
      </c>
    </row>
    <row r="35" spans="2:3" x14ac:dyDescent="0.25">
      <c r="B35" s="24" t="s">
        <v>51</v>
      </c>
      <c r="C35" s="33">
        <f>'Master Alloy Sheet'!C31</f>
        <v>1157.6000000000001</v>
      </c>
    </row>
    <row r="36" spans="2:3" x14ac:dyDescent="0.25">
      <c r="B36" s="24" t="s">
        <v>52</v>
      </c>
      <c r="C36" s="33">
        <f>'Master Alloy Sheet'!C32</f>
        <v>1133.8</v>
      </c>
    </row>
    <row r="37" spans="2:3" x14ac:dyDescent="0.25">
      <c r="B37" s="24" t="s">
        <v>53</v>
      </c>
      <c r="C37" s="33">
        <f>'Master Alloy Sheet'!C33</f>
        <v>1109.8</v>
      </c>
    </row>
    <row r="38" spans="2:3" x14ac:dyDescent="0.25">
      <c r="B38" s="24" t="s">
        <v>54</v>
      </c>
      <c r="C38" s="33">
        <f>'Master Alloy Sheet'!C34</f>
        <v>1085.8</v>
      </c>
    </row>
    <row r="39" spans="2:3" x14ac:dyDescent="0.25">
      <c r="B39" s="24" t="s">
        <v>55</v>
      </c>
      <c r="C39" s="33">
        <f>'Master Alloy Sheet'!C35</f>
        <v>1062</v>
      </c>
    </row>
    <row r="40" spans="2:3" x14ac:dyDescent="0.25">
      <c r="B40" s="24" t="s">
        <v>56</v>
      </c>
      <c r="C40" s="33">
        <f>'Master Alloy Sheet'!C36</f>
        <v>1043.8</v>
      </c>
    </row>
    <row r="41" spans="2:3" x14ac:dyDescent="0.25">
      <c r="B41" s="24" t="s">
        <v>33</v>
      </c>
      <c r="C41" s="33">
        <f>'Master Alloy Sheet'!C37</f>
        <v>991.80000000000007</v>
      </c>
    </row>
    <row r="42" spans="2:3" x14ac:dyDescent="0.25">
      <c r="B42" s="24" t="s">
        <v>34</v>
      </c>
      <c r="C42" s="33">
        <f>'Master Alloy Sheet'!C38</f>
        <v>988.2</v>
      </c>
    </row>
    <row r="43" spans="2:3" ht="13.5" thickBot="1" x14ac:dyDescent="0.3">
      <c r="B43" s="25" t="s">
        <v>57</v>
      </c>
      <c r="C43" s="34">
        <f>'Master Alloy Sheet'!C39</f>
        <v>990</v>
      </c>
    </row>
    <row r="44" spans="2:3" ht="13.5" thickBot="1" x14ac:dyDescent="0.3">
      <c r="B44" s="22"/>
      <c r="C44" s="31"/>
    </row>
    <row r="45" spans="2:3" x14ac:dyDescent="0.25">
      <c r="B45" s="23" t="s">
        <v>17</v>
      </c>
      <c r="C45" s="32">
        <f>'Master Alloy Sheet'!C41</f>
        <v>46.800000000000004</v>
      </c>
    </row>
    <row r="46" spans="2:3" x14ac:dyDescent="0.25">
      <c r="B46" s="24" t="s">
        <v>18</v>
      </c>
      <c r="C46" s="33">
        <f>'Master Alloy Sheet'!C42</f>
        <v>43.6</v>
      </c>
    </row>
    <row r="47" spans="2:3" x14ac:dyDescent="0.25">
      <c r="B47" s="24" t="s">
        <v>59</v>
      </c>
      <c r="C47" s="33">
        <f>'Master Alloy Sheet'!C43</f>
        <v>43.400000000000006</v>
      </c>
    </row>
    <row r="48" spans="2:3" ht="13.5" thickBot="1" x14ac:dyDescent="0.3">
      <c r="B48" s="25" t="s">
        <v>60</v>
      </c>
      <c r="C48" s="34">
        <f>'Master Alloy Sheet'!C44</f>
        <v>136</v>
      </c>
    </row>
    <row r="49" spans="2:3" ht="13.5" thickBot="1" x14ac:dyDescent="0.3">
      <c r="B49" s="22"/>
      <c r="C49" s="31"/>
    </row>
    <row r="50" spans="2:3" x14ac:dyDescent="0.25">
      <c r="B50" s="23" t="s">
        <v>61</v>
      </c>
      <c r="C50" s="32">
        <f>'Master Alloy Sheet'!C46</f>
        <v>1235.2</v>
      </c>
    </row>
    <row r="51" spans="2:3" x14ac:dyDescent="0.25">
      <c r="B51" s="24" t="s">
        <v>62</v>
      </c>
      <c r="C51" s="33">
        <f>'Master Alloy Sheet'!C47</f>
        <v>1304.4000000000001</v>
      </c>
    </row>
    <row r="52" spans="2:3" ht="13.5" thickBot="1" x14ac:dyDescent="0.3">
      <c r="B52" s="25" t="s">
        <v>63</v>
      </c>
      <c r="C52" s="34">
        <f>'Master Alloy Sheet'!C48</f>
        <v>1173.6000000000001</v>
      </c>
    </row>
    <row r="53" spans="2:3" ht="13.5" thickBot="1" x14ac:dyDescent="0.3">
      <c r="B53" s="22"/>
      <c r="C53" s="31"/>
    </row>
    <row r="54" spans="2:3" x14ac:dyDescent="0.25">
      <c r="B54" s="23" t="s">
        <v>64</v>
      </c>
      <c r="C54" s="32">
        <f>'Master Alloy Sheet'!C50</f>
        <v>1004.4000000000001</v>
      </c>
    </row>
    <row r="55" spans="2:3" x14ac:dyDescent="0.25">
      <c r="B55" s="24" t="s">
        <v>65</v>
      </c>
      <c r="C55" s="33">
        <f>'Master Alloy Sheet'!C51</f>
        <v>1085</v>
      </c>
    </row>
    <row r="56" spans="2:3" ht="13.5" thickBot="1" x14ac:dyDescent="0.3">
      <c r="B56" s="25" t="s">
        <v>66</v>
      </c>
      <c r="C56" s="34">
        <f>'Master Alloy Sheet'!C52</f>
        <v>954.2</v>
      </c>
    </row>
  </sheetData>
  <mergeCells count="1">
    <mergeCell ref="B2:C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MetalJSONFile">
                <anchor moveWithCells="1" sizeWithCells="1">
                  <from>
                    <xdr:col>3</xdr:col>
                    <xdr:colOff>1143000</xdr:colOff>
                    <xdr:row>0</xdr:row>
                    <xdr:rowOff>161925</xdr:rowOff>
                  </from>
                  <to>
                    <xdr:col>5</xdr:col>
                    <xdr:colOff>19050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J29"/>
  <sheetViews>
    <sheetView zoomScaleNormal="100" workbookViewId="0">
      <selection activeCell="C2" sqref="C2"/>
    </sheetView>
  </sheetViews>
  <sheetFormatPr defaultRowHeight="15" x14ac:dyDescent="0.25"/>
  <cols>
    <col min="1" max="1" width="26.28515625" customWidth="1"/>
    <col min="2" max="2" width="9.140625" style="1"/>
    <col min="3" max="3" width="2.85546875" style="1" customWidth="1"/>
    <col min="4" max="10" width="9.140625" style="1"/>
    <col min="14" max="14" width="39" customWidth="1"/>
  </cols>
  <sheetData>
    <row r="1" spans="1:10" x14ac:dyDescent="0.25">
      <c r="A1" s="35" t="s">
        <v>15</v>
      </c>
      <c r="B1" s="13" t="s">
        <v>16</v>
      </c>
      <c r="C1" s="13"/>
      <c r="D1" s="13" t="s">
        <v>5</v>
      </c>
      <c r="E1" s="13" t="s">
        <v>72</v>
      </c>
      <c r="F1" s="13" t="s">
        <v>0</v>
      </c>
      <c r="G1" s="13" t="s">
        <v>1</v>
      </c>
      <c r="H1" s="13" t="s">
        <v>2</v>
      </c>
      <c r="I1" s="13" t="s">
        <v>3</v>
      </c>
      <c r="J1" s="13" t="s">
        <v>4</v>
      </c>
    </row>
    <row r="2" spans="1:10" x14ac:dyDescent="0.25">
      <c r="A2" s="35"/>
      <c r="D2" s="1" t="str">
        <f>IF(A2="","",VLOOKUP(A2,Table_1,5,FALSE)/100*B2)</f>
        <v/>
      </c>
      <c r="E2" s="1" t="str">
        <f>IF(A2="","",VLOOKUP(A2,Table_1,7,FALSE)/100*B2)</f>
        <v/>
      </c>
      <c r="F2" s="1" t="str">
        <f>IF(A2="","",VLOOKUP(A2,Table_1,9,FALSE)/100*B2)</f>
        <v/>
      </c>
      <c r="G2" s="1" t="str">
        <f>IF(A2="","",VLOOKUP(A2,Table_1,11,FALSE)/100*B2)</f>
        <v/>
      </c>
      <c r="H2" s="1" t="str">
        <f>IF(A2="","",VLOOKUP(A2,Table_1,13,FALSE)/100*B2)</f>
        <v/>
      </c>
      <c r="I2" s="1" t="str">
        <f>IF(A2="","",VLOOKUP(A2,Table_1,15,FALSE)/100*B2)</f>
        <v/>
      </c>
      <c r="J2" s="1">
        <f>SUM(D2:I2)</f>
        <v>0</v>
      </c>
    </row>
    <row r="3" spans="1:10" x14ac:dyDescent="0.25">
      <c r="A3" s="36"/>
    </row>
    <row r="4" spans="1:10" x14ac:dyDescent="0.25">
      <c r="A4" s="35" t="s">
        <v>19</v>
      </c>
      <c r="B4" s="13" t="s">
        <v>16</v>
      </c>
      <c r="C4" s="13"/>
      <c r="D4" s="13" t="s">
        <v>5</v>
      </c>
      <c r="E4" s="13" t="s">
        <v>72</v>
      </c>
      <c r="F4" s="13" t="s">
        <v>0</v>
      </c>
      <c r="G4" s="13" t="s">
        <v>1</v>
      </c>
      <c r="H4" s="13" t="s">
        <v>2</v>
      </c>
      <c r="I4" s="13" t="s">
        <v>3</v>
      </c>
      <c r="J4" s="13" t="s">
        <v>4</v>
      </c>
    </row>
    <row r="5" spans="1:10" x14ac:dyDescent="0.25">
      <c r="A5" s="35"/>
      <c r="D5" s="1" t="str">
        <f>IF(A5="","",VLOOKUP(A5,Table_1,5,FALSE)/100*B5)</f>
        <v/>
      </c>
      <c r="E5" s="1" t="str">
        <f>IF(A5="","",VLOOKUP(A5,Table_1,7,FALSE)/100*B5)</f>
        <v/>
      </c>
      <c r="F5" s="1" t="str">
        <f>IF(A5="","",VLOOKUP(A5,Table_1,9,FALSE)/100*B5)</f>
        <v/>
      </c>
      <c r="G5" s="1" t="str">
        <f>IF(A5="","",VLOOKUP(A5,Table_1,11,FALSE)/100*B5)</f>
        <v/>
      </c>
      <c r="H5" s="1" t="str">
        <f>IF(A5="","",VLOOKUP(A5,Table_1,13,FALSE)/100*B5)</f>
        <v/>
      </c>
      <c r="I5" s="1" t="str">
        <f>IF(A5="","",VLOOKUP(A5,Table_1,15,FALSE)/100*B5)</f>
        <v/>
      </c>
      <c r="J5" s="1">
        <f>SUM(D5:I5)</f>
        <v>0</v>
      </c>
    </row>
    <row r="6" spans="1:10" x14ac:dyDescent="0.25">
      <c r="A6" s="35" t="s">
        <v>20</v>
      </c>
      <c r="B6" s="13" t="s">
        <v>16</v>
      </c>
      <c r="C6" s="13"/>
      <c r="D6" s="13" t="s">
        <v>5</v>
      </c>
      <c r="E6" s="13" t="s">
        <v>72</v>
      </c>
      <c r="F6" s="13" t="s">
        <v>0</v>
      </c>
      <c r="G6" s="13" t="s">
        <v>1</v>
      </c>
      <c r="H6" s="13" t="s">
        <v>2</v>
      </c>
      <c r="I6" s="13" t="s">
        <v>3</v>
      </c>
      <c r="J6" s="13" t="s">
        <v>4</v>
      </c>
    </row>
    <row r="7" spans="1:10" x14ac:dyDescent="0.25">
      <c r="A7" s="35"/>
      <c r="D7" s="1" t="str">
        <f>IF(A7="","",VLOOKUP(A7,Table_1,5,FALSE)/100*B7)</f>
        <v/>
      </c>
      <c r="E7" s="1" t="str">
        <f>IF(A7="","",VLOOKUP(A7,Table_1,7,FALSE)/100*B7)</f>
        <v/>
      </c>
      <c r="F7" s="1" t="str">
        <f>IF(A7="","",VLOOKUP(A7,Table_1,9,FALSE)/100*B7)</f>
        <v/>
      </c>
      <c r="G7" s="1" t="str">
        <f>IF(A7="","",VLOOKUP(A7,Table_1,11,FALSE)/100*B7)</f>
        <v/>
      </c>
      <c r="H7" s="1" t="str">
        <f>IF(A7="","",VLOOKUP(A7,Table_1,13,FALSE)/100*B7)</f>
        <v/>
      </c>
      <c r="I7" s="1" t="str">
        <f>IF(A7="","",VLOOKUP(A7,Table_1,15,FALSE)/100*B7)</f>
        <v/>
      </c>
      <c r="J7" s="1">
        <f>SUM(D7:I7)</f>
        <v>0</v>
      </c>
    </row>
    <row r="8" spans="1:10" x14ac:dyDescent="0.25">
      <c r="A8" s="35" t="s">
        <v>21</v>
      </c>
      <c r="B8" s="13"/>
      <c r="C8" s="13"/>
      <c r="D8" s="13" t="s">
        <v>5</v>
      </c>
      <c r="E8" s="13" t="s">
        <v>72</v>
      </c>
      <c r="F8" s="13" t="s">
        <v>0</v>
      </c>
      <c r="G8" s="13" t="s">
        <v>1</v>
      </c>
      <c r="H8" s="13" t="s">
        <v>2</v>
      </c>
      <c r="I8" s="13" t="s">
        <v>3</v>
      </c>
      <c r="J8" s="13" t="s">
        <v>4</v>
      </c>
    </row>
    <row r="9" spans="1:10" x14ac:dyDescent="0.25">
      <c r="A9" s="36" t="str">
        <f>IF(A5="","",IF(D9&lt;0,"Error",IF(E9&lt;0,"Error",IF(F9&lt;0,"Error",IF(G9&lt;0,"Error",IF(H9&lt;0,"Error",IF(I9&lt;0,"Error",IF(J9&lt;0,"Error","Ok"))))))))</f>
        <v/>
      </c>
      <c r="D9" s="1" t="str">
        <f t="shared" ref="D9:I9" si="0">IF($A$5="","",D7-D5)</f>
        <v/>
      </c>
      <c r="E9" s="1" t="str">
        <f t="shared" si="0"/>
        <v/>
      </c>
      <c r="F9" s="1" t="str">
        <f t="shared" si="0"/>
        <v/>
      </c>
      <c r="G9" s="1" t="str">
        <f t="shared" si="0"/>
        <v/>
      </c>
      <c r="H9" s="1" t="str">
        <f t="shared" si="0"/>
        <v/>
      </c>
      <c r="I9" s="1" t="str">
        <f t="shared" si="0"/>
        <v/>
      </c>
      <c r="J9" s="1">
        <f>SUM(D9:I9)</f>
        <v>0</v>
      </c>
    </row>
    <row r="29" spans="8:10" x14ac:dyDescent="0.25">
      <c r="H29"/>
      <c r="I29"/>
      <c r="J29"/>
    </row>
  </sheetData>
  <phoneticPr fontId="4" type="noConversion"/>
  <dataValidations count="1">
    <dataValidation type="list" allowBlank="1" showInputMessage="1" showErrorMessage="1" sqref="A2 A5 A7" xr:uid="{DD2C9EA8-325D-4B06-AAD9-FF57D7895408}">
      <formula1>List_1</formula1>
    </dataValidation>
  </dataValidations>
  <pageMargins left="0.7" right="0.7" top="0.75" bottom="0.75" header="0.3" footer="0.3"/>
  <pageSetup paperSize="9" orientation="portrait" horizontalDpi="360" verticalDpi="360" copies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758F2-F5D6-44A8-9BDB-E60AE609EE89}">
  <sheetPr codeName="Sheet4"/>
  <dimension ref="A1:N28"/>
  <sheetViews>
    <sheetView zoomScaleNormal="100" workbookViewId="0">
      <selection activeCell="A3" sqref="A3"/>
    </sheetView>
  </sheetViews>
  <sheetFormatPr defaultRowHeight="15" x14ac:dyDescent="0.25"/>
  <cols>
    <col min="1" max="1" width="26.28515625" customWidth="1"/>
    <col min="2" max="2" width="9.140625" style="1"/>
    <col min="3" max="3" width="2.85546875" style="1" customWidth="1"/>
    <col min="4" max="11" width="9.140625" style="1"/>
  </cols>
  <sheetData>
    <row r="1" spans="1:14" x14ac:dyDescent="0.25">
      <c r="A1" s="12" t="s">
        <v>23</v>
      </c>
      <c r="B1" s="13" t="s">
        <v>16</v>
      </c>
      <c r="C1" s="13"/>
      <c r="D1" s="13" t="s">
        <v>5</v>
      </c>
      <c r="E1" s="13" t="s">
        <v>11</v>
      </c>
      <c r="F1" s="13" t="s">
        <v>0</v>
      </c>
      <c r="G1" s="13" t="s">
        <v>1</v>
      </c>
      <c r="H1" s="13" t="s">
        <v>2</v>
      </c>
      <c r="I1" s="13" t="s">
        <v>3</v>
      </c>
      <c r="J1" s="13" t="s">
        <v>24</v>
      </c>
      <c r="K1" s="13" t="s">
        <v>4</v>
      </c>
    </row>
    <row r="2" spans="1:14" x14ac:dyDescent="0.25">
      <c r="A2" s="12" t="s">
        <v>67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f>100-D2-E2-F2-G2-H2-I2</f>
        <v>100</v>
      </c>
      <c r="K2" s="1">
        <f>IF(A2="","",D2+E2+F2+G2+H2+I2+J2)</f>
        <v>100</v>
      </c>
    </row>
    <row r="3" spans="1:14" x14ac:dyDescent="0.25">
      <c r="A3" s="12"/>
      <c r="D3" s="1">
        <f>$B$2*D2/100</f>
        <v>0</v>
      </c>
      <c r="E3" s="1">
        <f t="shared" ref="E3:J3" si="0">$B$2*E2/100</f>
        <v>0</v>
      </c>
      <c r="F3" s="1">
        <f t="shared" si="0"/>
        <v>0</v>
      </c>
      <c r="G3" s="1">
        <f t="shared" si="0"/>
        <v>0</v>
      </c>
      <c r="H3" s="1">
        <f t="shared" si="0"/>
        <v>0</v>
      </c>
      <c r="I3" s="1">
        <f t="shared" si="0"/>
        <v>0</v>
      </c>
      <c r="J3" s="1">
        <f t="shared" si="0"/>
        <v>0</v>
      </c>
      <c r="K3" s="1">
        <f>IF(A2="","",D3+E3+F3+G3+H3+I3+J3)</f>
        <v>0</v>
      </c>
    </row>
    <row r="5" spans="1:14" x14ac:dyDescent="0.25">
      <c r="A5" s="12" t="s">
        <v>20</v>
      </c>
      <c r="B5" s="13" t="s">
        <v>16</v>
      </c>
      <c r="C5" s="13"/>
      <c r="D5" s="13" t="s">
        <v>5</v>
      </c>
      <c r="E5" s="13" t="s">
        <v>11</v>
      </c>
      <c r="F5" s="13" t="s">
        <v>0</v>
      </c>
      <c r="G5" s="13" t="s">
        <v>1</v>
      </c>
      <c r="H5" s="13" t="s">
        <v>2</v>
      </c>
      <c r="I5" s="13" t="s">
        <v>3</v>
      </c>
      <c r="J5" s="13" t="s">
        <v>24</v>
      </c>
      <c r="K5" s="13" t="s">
        <v>4</v>
      </c>
      <c r="N5" s="14"/>
    </row>
    <row r="6" spans="1:14" x14ac:dyDescent="0.25">
      <c r="A6" s="12"/>
      <c r="D6" s="1" t="str">
        <f>IF(A6="","",VLOOKUP(A6,Table_1,5,FALSE)/100*B6)</f>
        <v/>
      </c>
      <c r="E6" s="1" t="str">
        <f>IF(A6="","",VLOOKUP(A6,Table_1,7,FALSE)/100*B6)</f>
        <v/>
      </c>
      <c r="F6" s="1" t="str">
        <f>IF(A6="","",VLOOKUP(A6,Table_1,9,FALSE)/100*B6)</f>
        <v/>
      </c>
      <c r="G6" s="1" t="str">
        <f>IF(A6="","",VLOOKUP(A6,Table_1,11,FALSE)/100*B6)</f>
        <v/>
      </c>
      <c r="H6" s="1" t="str">
        <f>IF(A6="","",VLOOKUP(A6,Table_1,13,FALSE)/100*B6)</f>
        <v/>
      </c>
      <c r="I6" s="1" t="str">
        <f>IF(A6="","",VLOOKUP(A6,Table_1,15,FALSE)/100*B6)</f>
        <v/>
      </c>
      <c r="J6" s="1">
        <v>0</v>
      </c>
      <c r="K6" s="1" t="str">
        <f>IF(A6="","",D6+E6+F6+G6+H6+I6)</f>
        <v/>
      </c>
      <c r="N6" s="14"/>
    </row>
    <row r="7" spans="1:14" x14ac:dyDescent="0.25">
      <c r="A7" s="12" t="s">
        <v>21</v>
      </c>
      <c r="B7" s="13"/>
      <c r="C7" s="13"/>
      <c r="D7" s="13" t="s">
        <v>5</v>
      </c>
      <c r="E7" s="13" t="s">
        <v>11</v>
      </c>
      <c r="F7" s="13" t="s">
        <v>0</v>
      </c>
      <c r="G7" s="13" t="s">
        <v>1</v>
      </c>
      <c r="H7" s="13" t="s">
        <v>2</v>
      </c>
      <c r="I7" s="13" t="s">
        <v>3</v>
      </c>
      <c r="J7" s="13" t="s">
        <v>24</v>
      </c>
      <c r="K7" s="13" t="s">
        <v>4</v>
      </c>
    </row>
    <row r="8" spans="1:14" x14ac:dyDescent="0.25">
      <c r="D8" s="1" t="e">
        <f>D6-D3</f>
        <v>#VALUE!</v>
      </c>
      <c r="E8" s="1" t="e">
        <f t="shared" ref="E8:I8" si="1">E6-E3</f>
        <v>#VALUE!</v>
      </c>
      <c r="F8" s="1" t="e">
        <f t="shared" si="1"/>
        <v>#VALUE!</v>
      </c>
      <c r="G8" s="1" t="e">
        <f>G6-G3-J3</f>
        <v>#VALUE!</v>
      </c>
      <c r="H8" s="1" t="e">
        <f t="shared" si="1"/>
        <v>#VALUE!</v>
      </c>
      <c r="I8" s="1" t="e">
        <f t="shared" si="1"/>
        <v>#VALUE!</v>
      </c>
      <c r="J8" s="1">
        <v>0</v>
      </c>
      <c r="K8" s="1" t="e">
        <f>IF(A7="","",D8+E8+F8+G8+H8+I8)</f>
        <v>#VALUE!</v>
      </c>
    </row>
    <row r="28" spans="8:11" x14ac:dyDescent="0.25">
      <c r="H28"/>
      <c r="I28"/>
      <c r="J28"/>
      <c r="K28"/>
    </row>
  </sheetData>
  <dataValidations count="1">
    <dataValidation type="list" allowBlank="1" showInputMessage="1" showErrorMessage="1" sqref="A6" xr:uid="{7B8C8322-F24B-4DB1-A30E-87445716CFA7}">
      <formula1>List_1</formula1>
    </dataValidation>
  </dataValidations>
  <pageMargins left="0.7" right="0.7" top="0.75" bottom="0.75" header="0.3" footer="0.3"/>
  <pageSetup paperSize="9" orientation="portrait" horizontalDpi="360" verticalDpi="360" copies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V52"/>
  <sheetViews>
    <sheetView workbookViewId="0">
      <pane xSplit="1" ySplit="1" topLeftCell="B2" activePane="bottomRight" state="frozen"/>
      <selection pane="topRight" activeCell="B1" sqref="B1"/>
      <selection pane="bottomLeft" activeCell="A3" sqref="A3"/>
      <selection pane="bottomRight"/>
    </sheetView>
  </sheetViews>
  <sheetFormatPr defaultColWidth="9.140625" defaultRowHeight="15" x14ac:dyDescent="0.25"/>
  <cols>
    <col min="1" max="1" width="28.5703125" style="13" customWidth="1"/>
    <col min="2" max="2" width="3.5703125" style="1" customWidth="1"/>
    <col min="3" max="3" width="17.85546875" style="1" customWidth="1"/>
    <col min="4" max="4" width="3.5703125" style="1" customWidth="1"/>
    <col min="5" max="5" width="11.42578125" style="13" customWidth="1"/>
    <col min="6" max="6" width="11.42578125" style="1" customWidth="1"/>
    <col min="7" max="7" width="11.42578125" style="13" customWidth="1"/>
    <col min="8" max="8" width="11.42578125" style="1" customWidth="1"/>
    <col min="9" max="9" width="11.42578125" style="13" customWidth="1"/>
    <col min="10" max="10" width="11.42578125" style="1" customWidth="1"/>
    <col min="11" max="11" width="11.42578125" style="13" customWidth="1"/>
    <col min="12" max="12" width="11.42578125" style="1" customWidth="1"/>
    <col min="13" max="13" width="11.42578125" style="13" customWidth="1"/>
    <col min="14" max="14" width="11.42578125" style="1" customWidth="1"/>
    <col min="15" max="15" width="11.42578125" style="13" customWidth="1"/>
    <col min="16" max="16" width="11.42578125" style="1" customWidth="1"/>
    <col min="17" max="17" width="3.5703125" style="1" customWidth="1"/>
    <col min="18" max="18" width="18.5703125" style="1" customWidth="1"/>
    <col min="19" max="16384" width="9.140625" style="1"/>
  </cols>
  <sheetData>
    <row r="1" spans="1:18" x14ac:dyDescent="0.25">
      <c r="A1" s="16"/>
      <c r="B1" s="17"/>
      <c r="C1" s="17" t="s">
        <v>12</v>
      </c>
      <c r="D1" s="17"/>
      <c r="E1" s="16" t="s">
        <v>5</v>
      </c>
      <c r="F1" s="17">
        <f>Cost!C5</f>
        <v>2615.9658749999999</v>
      </c>
      <c r="G1" s="16" t="s">
        <v>11</v>
      </c>
      <c r="H1" s="17">
        <f>Cost!C6</f>
        <v>1235.3879999999999</v>
      </c>
      <c r="I1" s="16" t="s">
        <v>0</v>
      </c>
      <c r="J1" s="17">
        <f>Cost!C7</f>
        <v>1004.4651250000001</v>
      </c>
      <c r="K1" s="16" t="s">
        <v>1</v>
      </c>
      <c r="L1" s="17">
        <f>Cost!C8</f>
        <v>46.977499999999999</v>
      </c>
      <c r="M1" s="16" t="s">
        <v>2</v>
      </c>
      <c r="N1" s="17">
        <f>Cost!C9</f>
        <v>2.2250000000000001</v>
      </c>
      <c r="O1" s="16" t="s">
        <v>3</v>
      </c>
      <c r="P1" s="17">
        <f>Cost!C10</f>
        <v>1.1125</v>
      </c>
      <c r="Q1" s="17"/>
      <c r="R1" s="1" t="s">
        <v>35</v>
      </c>
    </row>
    <row r="2" spans="1:18" x14ac:dyDescent="0.25">
      <c r="A2" s="13" t="s">
        <v>25</v>
      </c>
      <c r="C2" s="1">
        <f>FLOOR((F2+H2+J2+L2+N2+P2),0.25)</f>
        <v>2615.75</v>
      </c>
      <c r="E2" s="18">
        <v>100</v>
      </c>
      <c r="F2" s="15">
        <f>F$1/100*E2</f>
        <v>2615.9658749999999</v>
      </c>
      <c r="G2" s="18">
        <v>0</v>
      </c>
      <c r="H2" s="15">
        <f>H$1/100*G2</f>
        <v>0</v>
      </c>
      <c r="I2" s="18">
        <v>0</v>
      </c>
      <c r="J2" s="15">
        <f>J$1/100*I2</f>
        <v>0</v>
      </c>
      <c r="K2" s="18">
        <v>0</v>
      </c>
      <c r="L2" s="15">
        <f>L$1/100*K2</f>
        <v>0</v>
      </c>
      <c r="M2" s="18">
        <v>0</v>
      </c>
      <c r="N2" s="15">
        <f>N$1/100*M2</f>
        <v>0</v>
      </c>
      <c r="O2" s="18">
        <v>0</v>
      </c>
      <c r="P2" s="15">
        <f>P$1/100*O2</f>
        <v>0</v>
      </c>
      <c r="R2" s="15">
        <f>E2+G2+I2+K2+M2+O2</f>
        <v>100</v>
      </c>
    </row>
    <row r="3" spans="1:18" x14ac:dyDescent="0.25">
      <c r="E3" s="18"/>
      <c r="F3" s="15"/>
      <c r="G3" s="18"/>
      <c r="H3" s="15"/>
      <c r="I3" s="18"/>
      <c r="J3" s="15"/>
      <c r="K3" s="18"/>
      <c r="L3" s="15"/>
      <c r="M3" s="18"/>
      <c r="N3" s="15"/>
      <c r="O3" s="18"/>
      <c r="P3" s="15"/>
      <c r="Q3" s="18"/>
      <c r="R3" s="18"/>
    </row>
    <row r="4" spans="1:18" x14ac:dyDescent="0.25">
      <c r="A4" s="13" t="s">
        <v>26</v>
      </c>
      <c r="C4" s="1">
        <f>FLOOR((F4+H4+J4+L4+N4+P4),0.2)</f>
        <v>2505.4</v>
      </c>
      <c r="E4" s="18">
        <v>92</v>
      </c>
      <c r="F4" s="15">
        <f t="shared" ref="F4:F52" si="0">F$1/100*E4</f>
        <v>2406.6886049999998</v>
      </c>
      <c r="G4" s="18">
        <v>8</v>
      </c>
      <c r="H4" s="15">
        <f t="shared" ref="H4:H52" si="1">H$1/100*G4</f>
        <v>98.831039999999987</v>
      </c>
      <c r="I4" s="18">
        <v>0</v>
      </c>
      <c r="J4" s="15">
        <f t="shared" ref="J4:J52" si="2">J$1/100*I4</f>
        <v>0</v>
      </c>
      <c r="K4" s="18">
        <v>0</v>
      </c>
      <c r="L4" s="15">
        <f t="shared" ref="L4:L52" si="3">L$1/100*K4</f>
        <v>0</v>
      </c>
      <c r="M4" s="18">
        <v>0</v>
      </c>
      <c r="N4" s="15">
        <f t="shared" ref="N4:N52" si="4">N$1/100*M4</f>
        <v>0</v>
      </c>
      <c r="O4" s="18">
        <v>0</v>
      </c>
      <c r="P4" s="15">
        <f t="shared" ref="P4:P52" si="5">P$1/100*O4</f>
        <v>0</v>
      </c>
      <c r="R4" s="15">
        <f t="shared" ref="R4:R6" si="6">E4+G4+I4+K4+M4+O4</f>
        <v>100</v>
      </c>
    </row>
    <row r="5" spans="1:18" x14ac:dyDescent="0.25">
      <c r="A5" s="13" t="s">
        <v>27</v>
      </c>
      <c r="C5" s="1">
        <f t="shared" ref="C5:C6" si="7">FLOOR((F5+H5+J5+L5+N5+P5),0.2)</f>
        <v>2410.4</v>
      </c>
      <c r="E5" s="18">
        <v>92</v>
      </c>
      <c r="F5" s="15">
        <f t="shared" si="0"/>
        <v>2406.6886049999998</v>
      </c>
      <c r="G5" s="18">
        <v>0</v>
      </c>
      <c r="H5" s="15">
        <f t="shared" si="1"/>
        <v>0</v>
      </c>
      <c r="I5" s="18">
        <v>0</v>
      </c>
      <c r="J5" s="15">
        <f t="shared" si="2"/>
        <v>0</v>
      </c>
      <c r="K5" s="18">
        <v>8</v>
      </c>
      <c r="L5" s="15">
        <f t="shared" si="3"/>
        <v>3.7582</v>
      </c>
      <c r="M5" s="18">
        <v>0</v>
      </c>
      <c r="N5" s="15">
        <f t="shared" si="4"/>
        <v>0</v>
      </c>
      <c r="O5" s="18">
        <v>0</v>
      </c>
      <c r="P5" s="15">
        <f t="shared" si="5"/>
        <v>0</v>
      </c>
      <c r="R5" s="15">
        <f t="shared" si="6"/>
        <v>100</v>
      </c>
    </row>
    <row r="6" spans="1:18" x14ac:dyDescent="0.25">
      <c r="A6" s="13" t="s">
        <v>28</v>
      </c>
      <c r="C6" s="1">
        <f t="shared" si="7"/>
        <v>2406.8000000000002</v>
      </c>
      <c r="E6" s="18">
        <v>92</v>
      </c>
      <c r="F6" s="15">
        <f t="shared" si="0"/>
        <v>2406.6886049999998</v>
      </c>
      <c r="G6" s="18">
        <v>0</v>
      </c>
      <c r="H6" s="15">
        <f t="shared" si="1"/>
        <v>0</v>
      </c>
      <c r="I6" s="18">
        <v>0</v>
      </c>
      <c r="J6" s="15">
        <f t="shared" si="2"/>
        <v>0</v>
      </c>
      <c r="K6" s="18">
        <v>0</v>
      </c>
      <c r="L6" s="15">
        <f t="shared" si="3"/>
        <v>0</v>
      </c>
      <c r="M6" s="18">
        <v>8</v>
      </c>
      <c r="N6" s="15">
        <f t="shared" si="4"/>
        <v>0.17800000000000002</v>
      </c>
      <c r="O6" s="18">
        <v>0</v>
      </c>
      <c r="P6" s="15">
        <f t="shared" si="5"/>
        <v>0</v>
      </c>
      <c r="R6" s="15">
        <f t="shared" si="6"/>
        <v>100</v>
      </c>
    </row>
    <row r="7" spans="1:18" x14ac:dyDescent="0.25">
      <c r="E7" s="18"/>
      <c r="F7" s="15"/>
      <c r="G7" s="18"/>
      <c r="H7" s="15"/>
      <c r="I7" s="18"/>
      <c r="J7" s="15"/>
      <c r="K7" s="18"/>
      <c r="L7" s="15"/>
      <c r="M7" s="18"/>
      <c r="N7" s="15"/>
      <c r="O7" s="18"/>
      <c r="P7" s="15"/>
      <c r="R7" s="15"/>
    </row>
    <row r="8" spans="1:18" x14ac:dyDescent="0.25">
      <c r="A8" s="13" t="s">
        <v>36</v>
      </c>
      <c r="C8" s="1">
        <f t="shared" ref="C8:C17" si="8">FLOOR((F8+H8+J8+L8+N8+P8),0.2)</f>
        <v>2220.2000000000003</v>
      </c>
      <c r="E8" s="18">
        <v>75.399999999999991</v>
      </c>
      <c r="F8" s="15">
        <f t="shared" si="0"/>
        <v>1972.4382697499996</v>
      </c>
      <c r="G8" s="18">
        <v>20</v>
      </c>
      <c r="H8" s="15">
        <f t="shared" si="1"/>
        <v>247.07759999999996</v>
      </c>
      <c r="I8" s="18">
        <v>0</v>
      </c>
      <c r="J8" s="15">
        <f t="shared" si="2"/>
        <v>0</v>
      </c>
      <c r="K8" s="18">
        <v>1.5999999999999999</v>
      </c>
      <c r="L8" s="15">
        <f t="shared" si="3"/>
        <v>0.75163999999999997</v>
      </c>
      <c r="M8" s="18">
        <v>1.5</v>
      </c>
      <c r="N8" s="15">
        <f t="shared" si="4"/>
        <v>3.3375000000000002E-2</v>
      </c>
      <c r="O8" s="18">
        <v>1.5</v>
      </c>
      <c r="P8" s="15">
        <f t="shared" si="5"/>
        <v>1.6687500000000001E-2</v>
      </c>
      <c r="R8" s="15">
        <f t="shared" ref="R8:R17" si="9">E8+G8+I8+K8+M8+O8</f>
        <v>99.999999999999986</v>
      </c>
    </row>
    <row r="9" spans="1:18" x14ac:dyDescent="0.25">
      <c r="A9" s="13" t="s">
        <v>37</v>
      </c>
      <c r="C9" s="1">
        <f t="shared" si="8"/>
        <v>2174</v>
      </c>
      <c r="E9" s="18">
        <v>75.399999999999991</v>
      </c>
      <c r="F9" s="15">
        <f t="shared" si="0"/>
        <v>1972.4382697499996</v>
      </c>
      <c r="G9" s="18">
        <v>0</v>
      </c>
      <c r="H9" s="15">
        <f t="shared" si="1"/>
        <v>0</v>
      </c>
      <c r="I9" s="18">
        <v>20</v>
      </c>
      <c r="J9" s="15">
        <f t="shared" si="2"/>
        <v>200.89302500000002</v>
      </c>
      <c r="K9" s="18">
        <v>1.5999999999999999</v>
      </c>
      <c r="L9" s="15">
        <f t="shared" si="3"/>
        <v>0.75163999999999997</v>
      </c>
      <c r="M9" s="18">
        <v>1.5</v>
      </c>
      <c r="N9" s="15">
        <f t="shared" si="4"/>
        <v>3.3375000000000002E-2</v>
      </c>
      <c r="O9" s="18">
        <v>1.5</v>
      </c>
      <c r="P9" s="15">
        <f t="shared" si="5"/>
        <v>1.6687500000000001E-2</v>
      </c>
      <c r="R9" s="15">
        <f t="shared" si="9"/>
        <v>99.999999999999986</v>
      </c>
    </row>
    <row r="10" spans="1:18" x14ac:dyDescent="0.25">
      <c r="A10" s="13" t="s">
        <v>38</v>
      </c>
      <c r="C10" s="1">
        <f t="shared" si="8"/>
        <v>2150</v>
      </c>
      <c r="E10" s="18">
        <v>75.399999999999991</v>
      </c>
      <c r="F10" s="15">
        <f t="shared" si="0"/>
        <v>1972.4382697499996</v>
      </c>
      <c r="G10" s="18">
        <v>0</v>
      </c>
      <c r="H10" s="15">
        <f t="shared" si="1"/>
        <v>0</v>
      </c>
      <c r="I10" s="18">
        <v>17.5</v>
      </c>
      <c r="J10" s="15">
        <f t="shared" si="2"/>
        <v>175.78139687500001</v>
      </c>
      <c r="K10" s="18">
        <v>4.1000000000000005</v>
      </c>
      <c r="L10" s="15">
        <f t="shared" si="3"/>
        <v>1.9260775000000003</v>
      </c>
      <c r="M10" s="18">
        <v>1.5</v>
      </c>
      <c r="N10" s="15">
        <f t="shared" si="4"/>
        <v>3.3375000000000002E-2</v>
      </c>
      <c r="O10" s="18">
        <v>1.5</v>
      </c>
      <c r="P10" s="15">
        <f t="shared" si="5"/>
        <v>1.6687500000000001E-2</v>
      </c>
      <c r="R10" s="15">
        <f t="shared" si="9"/>
        <v>99.999999999999986</v>
      </c>
    </row>
    <row r="11" spans="1:18" x14ac:dyDescent="0.25">
      <c r="A11" s="13" t="s">
        <v>39</v>
      </c>
      <c r="C11" s="1">
        <f t="shared" si="8"/>
        <v>2126.2000000000003</v>
      </c>
      <c r="E11" s="18">
        <v>75.399999999999991</v>
      </c>
      <c r="F11" s="15">
        <f t="shared" si="0"/>
        <v>1972.4382697499996</v>
      </c>
      <c r="G11" s="18">
        <v>0</v>
      </c>
      <c r="H11" s="15">
        <f t="shared" si="1"/>
        <v>0</v>
      </c>
      <c r="I11" s="18">
        <v>15</v>
      </c>
      <c r="J11" s="15">
        <f t="shared" si="2"/>
        <v>150.66976875</v>
      </c>
      <c r="K11" s="18">
        <v>6.6000000000000005</v>
      </c>
      <c r="L11" s="15">
        <f t="shared" si="3"/>
        <v>3.1005150000000001</v>
      </c>
      <c r="M11" s="18">
        <v>1.5</v>
      </c>
      <c r="N11" s="15">
        <f t="shared" si="4"/>
        <v>3.3375000000000002E-2</v>
      </c>
      <c r="O11" s="18">
        <v>1.5</v>
      </c>
      <c r="P11" s="15">
        <f t="shared" si="5"/>
        <v>1.6687500000000001E-2</v>
      </c>
      <c r="R11" s="15">
        <f t="shared" si="9"/>
        <v>99.999999999999986</v>
      </c>
    </row>
    <row r="12" spans="1:18" x14ac:dyDescent="0.25">
      <c r="A12" s="13" t="s">
        <v>40</v>
      </c>
      <c r="C12" s="1">
        <f t="shared" si="8"/>
        <v>2102.2000000000003</v>
      </c>
      <c r="E12" s="18">
        <v>75.399999999999991</v>
      </c>
      <c r="F12" s="15">
        <f t="shared" si="0"/>
        <v>1972.4382697499996</v>
      </c>
      <c r="G12" s="18">
        <v>0</v>
      </c>
      <c r="H12" s="15">
        <f t="shared" si="1"/>
        <v>0</v>
      </c>
      <c r="I12" s="18">
        <v>12.5</v>
      </c>
      <c r="J12" s="15">
        <f t="shared" si="2"/>
        <v>125.55814062500002</v>
      </c>
      <c r="K12" s="18">
        <v>9.1</v>
      </c>
      <c r="L12" s="15">
        <f t="shared" si="3"/>
        <v>4.2749524999999995</v>
      </c>
      <c r="M12" s="18">
        <v>1.5</v>
      </c>
      <c r="N12" s="15">
        <f t="shared" si="4"/>
        <v>3.3375000000000002E-2</v>
      </c>
      <c r="O12" s="18">
        <v>1.5</v>
      </c>
      <c r="P12" s="15">
        <f t="shared" si="5"/>
        <v>1.6687500000000001E-2</v>
      </c>
      <c r="R12" s="15">
        <f t="shared" si="9"/>
        <v>99.999999999999986</v>
      </c>
    </row>
    <row r="13" spans="1:18" x14ac:dyDescent="0.25">
      <c r="A13" s="13" t="s">
        <v>41</v>
      </c>
      <c r="C13" s="1">
        <f t="shared" si="8"/>
        <v>2078.2000000000003</v>
      </c>
      <c r="E13" s="18">
        <v>75.399999999999991</v>
      </c>
      <c r="F13" s="15">
        <f t="shared" si="0"/>
        <v>1972.4382697499996</v>
      </c>
      <c r="G13" s="18">
        <v>0</v>
      </c>
      <c r="H13" s="15">
        <f t="shared" si="1"/>
        <v>0</v>
      </c>
      <c r="I13" s="18">
        <v>10</v>
      </c>
      <c r="J13" s="15">
        <f t="shared" si="2"/>
        <v>100.44651250000001</v>
      </c>
      <c r="K13" s="18">
        <v>11.6</v>
      </c>
      <c r="L13" s="15">
        <f t="shared" si="3"/>
        <v>5.4493900000000002</v>
      </c>
      <c r="M13" s="18">
        <v>1.5</v>
      </c>
      <c r="N13" s="15">
        <f t="shared" si="4"/>
        <v>3.3375000000000002E-2</v>
      </c>
      <c r="O13" s="18">
        <v>1.5</v>
      </c>
      <c r="P13" s="15">
        <f t="shared" si="5"/>
        <v>1.6687500000000001E-2</v>
      </c>
      <c r="R13" s="15">
        <f t="shared" si="9"/>
        <v>99.999999999999986</v>
      </c>
    </row>
    <row r="14" spans="1:18" x14ac:dyDescent="0.25">
      <c r="A14" s="13" t="s">
        <v>42</v>
      </c>
      <c r="C14" s="1">
        <f t="shared" si="8"/>
        <v>2071.6</v>
      </c>
      <c r="E14" s="18">
        <v>75.399999999999991</v>
      </c>
      <c r="F14" s="15">
        <f t="shared" si="0"/>
        <v>1972.4382697499996</v>
      </c>
      <c r="G14" s="18">
        <v>7.5</v>
      </c>
      <c r="H14" s="15">
        <f t="shared" si="1"/>
        <v>92.654099999999985</v>
      </c>
      <c r="I14" s="18">
        <v>0</v>
      </c>
      <c r="J14" s="15">
        <f t="shared" si="2"/>
        <v>0</v>
      </c>
      <c r="K14" s="18">
        <v>14.1</v>
      </c>
      <c r="L14" s="15">
        <f t="shared" si="3"/>
        <v>6.6238275</v>
      </c>
      <c r="M14" s="18">
        <v>1.5</v>
      </c>
      <c r="N14" s="15">
        <f t="shared" si="4"/>
        <v>3.3375000000000002E-2</v>
      </c>
      <c r="O14" s="18">
        <v>1.5</v>
      </c>
      <c r="P14" s="15">
        <f t="shared" si="5"/>
        <v>1.6687500000000001E-2</v>
      </c>
      <c r="R14" s="15">
        <f t="shared" si="9"/>
        <v>99.999999999999986</v>
      </c>
    </row>
    <row r="15" spans="1:18" x14ac:dyDescent="0.25">
      <c r="A15" s="13" t="s">
        <v>29</v>
      </c>
      <c r="C15" s="1">
        <f t="shared" si="8"/>
        <v>1977.8000000000002</v>
      </c>
      <c r="E15" s="18">
        <v>75.399999999999991</v>
      </c>
      <c r="F15" s="15">
        <f t="shared" si="0"/>
        <v>1972.4382697499996</v>
      </c>
      <c r="G15" s="18">
        <v>0</v>
      </c>
      <c r="H15" s="15">
        <f t="shared" si="1"/>
        <v>0</v>
      </c>
      <c r="I15" s="18">
        <v>0</v>
      </c>
      <c r="J15" s="15">
        <f t="shared" si="2"/>
        <v>0</v>
      </c>
      <c r="K15" s="18">
        <v>10.9</v>
      </c>
      <c r="L15" s="15">
        <f t="shared" si="3"/>
        <v>5.1205474999999998</v>
      </c>
      <c r="M15" s="18">
        <v>12.2</v>
      </c>
      <c r="N15" s="15">
        <f t="shared" si="4"/>
        <v>0.27145000000000002</v>
      </c>
      <c r="O15" s="18">
        <v>1.5</v>
      </c>
      <c r="P15" s="15">
        <f t="shared" si="5"/>
        <v>1.6687500000000001E-2</v>
      </c>
      <c r="R15" s="15">
        <f t="shared" si="9"/>
        <v>100</v>
      </c>
    </row>
    <row r="16" spans="1:18" x14ac:dyDescent="0.25">
      <c r="A16" s="13" t="s">
        <v>30</v>
      </c>
      <c r="C16" s="1">
        <f t="shared" si="8"/>
        <v>1973.4</v>
      </c>
      <c r="E16" s="18">
        <v>75.399999999999991</v>
      </c>
      <c r="F16" s="15">
        <f t="shared" si="0"/>
        <v>1972.4382697499996</v>
      </c>
      <c r="G16" s="18">
        <v>0</v>
      </c>
      <c r="H16" s="15">
        <f t="shared" si="1"/>
        <v>0</v>
      </c>
      <c r="I16" s="18">
        <v>0</v>
      </c>
      <c r="J16" s="15">
        <f t="shared" si="2"/>
        <v>0</v>
      </c>
      <c r="K16" s="18">
        <v>1.4</v>
      </c>
      <c r="L16" s="15">
        <f t="shared" si="3"/>
        <v>0.65768499999999996</v>
      </c>
      <c r="M16" s="18">
        <v>21.7</v>
      </c>
      <c r="N16" s="15">
        <f t="shared" si="4"/>
        <v>0.48282500000000006</v>
      </c>
      <c r="O16" s="18">
        <v>1.5</v>
      </c>
      <c r="P16" s="15">
        <f t="shared" si="5"/>
        <v>1.6687500000000001E-2</v>
      </c>
      <c r="R16" s="15">
        <f t="shared" si="9"/>
        <v>100</v>
      </c>
    </row>
    <row r="17" spans="1:22" x14ac:dyDescent="0.25">
      <c r="A17" s="13" t="s">
        <v>43</v>
      </c>
      <c r="C17" s="1">
        <f t="shared" si="8"/>
        <v>1975.6000000000001</v>
      </c>
      <c r="E17" s="18">
        <v>75.399999999999991</v>
      </c>
      <c r="F17" s="15">
        <f t="shared" si="0"/>
        <v>1972.4382697499996</v>
      </c>
      <c r="G17" s="18">
        <v>0</v>
      </c>
      <c r="H17" s="15">
        <f t="shared" si="1"/>
        <v>0</v>
      </c>
      <c r="I17" s="18">
        <v>0</v>
      </c>
      <c r="J17" s="15">
        <f t="shared" si="2"/>
        <v>0</v>
      </c>
      <c r="K17" s="18">
        <v>5.9</v>
      </c>
      <c r="L17" s="15">
        <f t="shared" si="3"/>
        <v>2.7716725000000002</v>
      </c>
      <c r="M17" s="18">
        <v>17.2</v>
      </c>
      <c r="N17" s="15">
        <f t="shared" si="4"/>
        <v>0.38270000000000004</v>
      </c>
      <c r="O17" s="18">
        <v>1.5</v>
      </c>
      <c r="P17" s="15">
        <f t="shared" si="5"/>
        <v>1.6687500000000001E-2</v>
      </c>
      <c r="R17" s="15">
        <f t="shared" si="9"/>
        <v>100</v>
      </c>
    </row>
    <row r="18" spans="1:22" x14ac:dyDescent="0.25">
      <c r="E18" s="18"/>
      <c r="F18" s="15"/>
      <c r="G18" s="18"/>
      <c r="H18" s="15"/>
      <c r="I18" s="18"/>
      <c r="J18" s="15"/>
      <c r="K18" s="18"/>
      <c r="L18" s="15"/>
      <c r="M18" s="18"/>
      <c r="N18" s="15"/>
      <c r="O18" s="18"/>
      <c r="P18" s="15"/>
      <c r="R18" s="15"/>
      <c r="S18" s="15"/>
      <c r="U18" s="15"/>
      <c r="V18" s="15"/>
    </row>
    <row r="19" spans="1:22" x14ac:dyDescent="0.25">
      <c r="A19" s="13" t="s">
        <v>44</v>
      </c>
      <c r="C19" s="1">
        <f t="shared" ref="C19:C28" si="10">FLOOR((F19+H19+J19+L19+N19+P19),0.2)</f>
        <v>1788.6000000000001</v>
      </c>
      <c r="E19" s="18">
        <v>58.6</v>
      </c>
      <c r="F19" s="15">
        <f t="shared" si="0"/>
        <v>1532.9560027499999</v>
      </c>
      <c r="G19" s="18">
        <v>20</v>
      </c>
      <c r="H19" s="15">
        <f t="shared" si="1"/>
        <v>247.07759999999996</v>
      </c>
      <c r="I19" s="18">
        <v>0</v>
      </c>
      <c r="J19" s="15">
        <f t="shared" si="2"/>
        <v>0</v>
      </c>
      <c r="K19" s="18">
        <v>18.399999999999999</v>
      </c>
      <c r="L19" s="15">
        <f t="shared" si="3"/>
        <v>8.6438600000000001</v>
      </c>
      <c r="M19" s="18">
        <v>1.5</v>
      </c>
      <c r="N19" s="15">
        <f t="shared" si="4"/>
        <v>3.3375000000000002E-2</v>
      </c>
      <c r="O19" s="18">
        <v>1.5</v>
      </c>
      <c r="P19" s="15">
        <f t="shared" si="5"/>
        <v>1.6687500000000001E-2</v>
      </c>
      <c r="R19" s="15">
        <f t="shared" ref="R19:R28" si="11">E19+G19+I19+K19+M19+O19</f>
        <v>100</v>
      </c>
    </row>
    <row r="20" spans="1:22" x14ac:dyDescent="0.25">
      <c r="A20" s="13" t="s">
        <v>69</v>
      </c>
      <c r="C20" s="1">
        <f t="shared" si="10"/>
        <v>1718.6000000000001</v>
      </c>
      <c r="E20" s="18">
        <v>58.6</v>
      </c>
      <c r="F20" s="15">
        <f t="shared" si="0"/>
        <v>1532.9560027499999</v>
      </c>
      <c r="G20" s="18">
        <v>0</v>
      </c>
      <c r="H20" s="15">
        <f t="shared" si="1"/>
        <v>0</v>
      </c>
      <c r="I20" s="18">
        <v>17.5</v>
      </c>
      <c r="J20" s="15">
        <f t="shared" si="2"/>
        <v>175.78139687500001</v>
      </c>
      <c r="K20" s="18">
        <v>20.9</v>
      </c>
      <c r="L20" s="15">
        <f t="shared" si="3"/>
        <v>9.8182974999999999</v>
      </c>
      <c r="M20" s="18">
        <v>1.5</v>
      </c>
      <c r="N20" s="15">
        <f t="shared" si="4"/>
        <v>3.3375000000000002E-2</v>
      </c>
      <c r="O20" s="18">
        <v>1.5</v>
      </c>
      <c r="P20" s="15">
        <f t="shared" si="5"/>
        <v>1.6687500000000001E-2</v>
      </c>
      <c r="R20" s="15">
        <f t="shared" si="11"/>
        <v>100</v>
      </c>
    </row>
    <row r="21" spans="1:22" x14ac:dyDescent="0.25">
      <c r="A21" s="13" t="s">
        <v>45</v>
      </c>
      <c r="C21" s="1">
        <f t="shared" si="10"/>
        <v>1694.6000000000001</v>
      </c>
      <c r="E21" s="18">
        <v>58.6</v>
      </c>
      <c r="F21" s="15">
        <f t="shared" si="0"/>
        <v>1532.9560027499999</v>
      </c>
      <c r="G21" s="18">
        <v>0</v>
      </c>
      <c r="H21" s="15">
        <f t="shared" si="1"/>
        <v>0</v>
      </c>
      <c r="I21" s="18">
        <v>15</v>
      </c>
      <c r="J21" s="15">
        <f t="shared" si="2"/>
        <v>150.66976875</v>
      </c>
      <c r="K21" s="18">
        <v>23.4</v>
      </c>
      <c r="L21" s="15">
        <f t="shared" si="3"/>
        <v>10.992735</v>
      </c>
      <c r="M21" s="18">
        <v>1.5</v>
      </c>
      <c r="N21" s="15">
        <f t="shared" si="4"/>
        <v>3.3375000000000002E-2</v>
      </c>
      <c r="O21" s="18">
        <v>1.5</v>
      </c>
      <c r="P21" s="15">
        <f t="shared" si="5"/>
        <v>1.6687500000000001E-2</v>
      </c>
      <c r="R21" s="15">
        <f t="shared" si="11"/>
        <v>100</v>
      </c>
    </row>
    <row r="22" spans="1:22" x14ac:dyDescent="0.25">
      <c r="A22" s="13" t="s">
        <v>46</v>
      </c>
      <c r="C22" s="1">
        <f t="shared" si="10"/>
        <v>1670.6000000000001</v>
      </c>
      <c r="E22" s="18">
        <v>58.6</v>
      </c>
      <c r="F22" s="15">
        <f t="shared" si="0"/>
        <v>1532.9560027499999</v>
      </c>
      <c r="G22" s="18">
        <v>0</v>
      </c>
      <c r="H22" s="15">
        <f t="shared" si="1"/>
        <v>0</v>
      </c>
      <c r="I22" s="18">
        <v>12.5</v>
      </c>
      <c r="J22" s="15">
        <f t="shared" si="2"/>
        <v>125.55814062500002</v>
      </c>
      <c r="K22" s="18">
        <v>25.9</v>
      </c>
      <c r="L22" s="15">
        <f t="shared" si="3"/>
        <v>12.1671725</v>
      </c>
      <c r="M22" s="18">
        <v>1.5</v>
      </c>
      <c r="N22" s="15">
        <f t="shared" si="4"/>
        <v>3.3375000000000002E-2</v>
      </c>
      <c r="O22" s="18">
        <v>1.5</v>
      </c>
      <c r="P22" s="15">
        <f t="shared" si="5"/>
        <v>1.6687500000000001E-2</v>
      </c>
      <c r="R22" s="15">
        <f t="shared" si="11"/>
        <v>100</v>
      </c>
    </row>
    <row r="23" spans="1:22" x14ac:dyDescent="0.25">
      <c r="A23" s="13" t="s">
        <v>47</v>
      </c>
      <c r="C23" s="1">
        <f t="shared" si="10"/>
        <v>1646.6000000000001</v>
      </c>
      <c r="E23" s="18">
        <v>58.6</v>
      </c>
      <c r="F23" s="15">
        <f t="shared" si="0"/>
        <v>1532.9560027499999</v>
      </c>
      <c r="G23" s="18">
        <v>0</v>
      </c>
      <c r="H23" s="15">
        <f t="shared" si="1"/>
        <v>0</v>
      </c>
      <c r="I23" s="18">
        <v>10</v>
      </c>
      <c r="J23" s="15">
        <f t="shared" si="2"/>
        <v>100.44651250000001</v>
      </c>
      <c r="K23" s="18">
        <v>28.4</v>
      </c>
      <c r="L23" s="15">
        <f t="shared" si="3"/>
        <v>13.341609999999999</v>
      </c>
      <c r="M23" s="18">
        <v>1.5</v>
      </c>
      <c r="N23" s="15">
        <f t="shared" si="4"/>
        <v>3.3375000000000002E-2</v>
      </c>
      <c r="O23" s="18">
        <v>1.5</v>
      </c>
      <c r="P23" s="15">
        <f t="shared" si="5"/>
        <v>1.6687500000000001E-2</v>
      </c>
      <c r="R23" s="15">
        <f t="shared" si="11"/>
        <v>100</v>
      </c>
    </row>
    <row r="24" spans="1:22" x14ac:dyDescent="0.25">
      <c r="A24" s="13" t="s">
        <v>58</v>
      </c>
      <c r="C24" s="1">
        <f t="shared" si="10"/>
        <v>1622.8000000000002</v>
      </c>
      <c r="E24" s="18">
        <v>58.6</v>
      </c>
      <c r="F24" s="15">
        <f t="shared" si="0"/>
        <v>1532.9560027499999</v>
      </c>
      <c r="G24" s="18">
        <v>0</v>
      </c>
      <c r="H24" s="15">
        <f t="shared" si="1"/>
        <v>0</v>
      </c>
      <c r="I24" s="18">
        <v>7.5</v>
      </c>
      <c r="J24" s="15">
        <f t="shared" si="2"/>
        <v>75.334884375000001</v>
      </c>
      <c r="K24" s="18">
        <v>30.9</v>
      </c>
      <c r="L24" s="15">
        <f t="shared" si="3"/>
        <v>14.516047499999999</v>
      </c>
      <c r="M24" s="18">
        <v>1.5</v>
      </c>
      <c r="N24" s="15">
        <f t="shared" si="4"/>
        <v>3.3375000000000002E-2</v>
      </c>
      <c r="O24" s="18">
        <v>1.5</v>
      </c>
      <c r="P24" s="15">
        <f t="shared" si="5"/>
        <v>1.6687500000000001E-2</v>
      </c>
      <c r="R24" s="15">
        <f t="shared" si="11"/>
        <v>100</v>
      </c>
    </row>
    <row r="25" spans="1:22" x14ac:dyDescent="0.25">
      <c r="A25" s="13" t="s">
        <v>48</v>
      </c>
      <c r="C25" s="1">
        <f t="shared" si="10"/>
        <v>1610.4</v>
      </c>
      <c r="E25" s="18">
        <v>58.6</v>
      </c>
      <c r="F25" s="15">
        <f t="shared" si="0"/>
        <v>1532.9560027499999</v>
      </c>
      <c r="G25" s="18">
        <v>5</v>
      </c>
      <c r="H25" s="15">
        <f t="shared" si="1"/>
        <v>61.76939999999999</v>
      </c>
      <c r="I25" s="18">
        <v>0</v>
      </c>
      <c r="J25" s="15">
        <f t="shared" si="2"/>
        <v>0</v>
      </c>
      <c r="K25" s="18">
        <v>33.4</v>
      </c>
      <c r="L25" s="15">
        <f t="shared" si="3"/>
        <v>15.690484999999999</v>
      </c>
      <c r="M25" s="18">
        <v>1.5</v>
      </c>
      <c r="N25" s="15">
        <f t="shared" si="4"/>
        <v>3.3375000000000002E-2</v>
      </c>
      <c r="O25" s="18">
        <v>1.5</v>
      </c>
      <c r="P25" s="15">
        <f t="shared" si="5"/>
        <v>1.6687500000000001E-2</v>
      </c>
      <c r="R25" s="15">
        <f t="shared" si="11"/>
        <v>100</v>
      </c>
    </row>
    <row r="26" spans="1:22" x14ac:dyDescent="0.25">
      <c r="A26" s="13" t="s">
        <v>31</v>
      </c>
      <c r="C26" s="1">
        <f t="shared" si="10"/>
        <v>1538.4</v>
      </c>
      <c r="E26" s="18">
        <v>58.6</v>
      </c>
      <c r="F26" s="15">
        <f t="shared" si="0"/>
        <v>1532.9560027499999</v>
      </c>
      <c r="G26" s="18">
        <v>0</v>
      </c>
      <c r="H26" s="15">
        <f t="shared" si="1"/>
        <v>0</v>
      </c>
      <c r="I26" s="18">
        <v>0</v>
      </c>
      <c r="J26" s="15">
        <f t="shared" si="2"/>
        <v>0</v>
      </c>
      <c r="K26" s="18">
        <v>10.4</v>
      </c>
      <c r="L26" s="15">
        <f t="shared" si="3"/>
        <v>4.8856600000000006</v>
      </c>
      <c r="M26" s="18">
        <v>26.5</v>
      </c>
      <c r="N26" s="15">
        <f t="shared" si="4"/>
        <v>0.58962500000000007</v>
      </c>
      <c r="O26" s="18">
        <v>4.5</v>
      </c>
      <c r="P26" s="15">
        <f t="shared" si="5"/>
        <v>5.0062500000000003E-2</v>
      </c>
      <c r="R26" s="15">
        <f t="shared" si="11"/>
        <v>100</v>
      </c>
    </row>
    <row r="27" spans="1:22" x14ac:dyDescent="0.25">
      <c r="A27" s="13" t="s">
        <v>32</v>
      </c>
      <c r="C27" s="1">
        <f t="shared" si="10"/>
        <v>1534.4</v>
      </c>
      <c r="E27" s="18">
        <v>58.6</v>
      </c>
      <c r="F27" s="15">
        <f t="shared" si="0"/>
        <v>1532.9560027499999</v>
      </c>
      <c r="G27" s="18">
        <v>0</v>
      </c>
      <c r="H27" s="15">
        <f t="shared" si="1"/>
        <v>0</v>
      </c>
      <c r="I27" s="18">
        <v>0</v>
      </c>
      <c r="J27" s="15">
        <f t="shared" si="2"/>
        <v>0</v>
      </c>
      <c r="K27" s="18">
        <v>1.4</v>
      </c>
      <c r="L27" s="15">
        <f t="shared" si="3"/>
        <v>0.65768499999999996</v>
      </c>
      <c r="M27" s="18">
        <v>38.5</v>
      </c>
      <c r="N27" s="15">
        <f t="shared" si="4"/>
        <v>0.85662500000000008</v>
      </c>
      <c r="O27" s="18">
        <v>1.5</v>
      </c>
      <c r="P27" s="15">
        <f t="shared" si="5"/>
        <v>1.6687500000000001E-2</v>
      </c>
      <c r="R27" s="15">
        <f t="shared" si="11"/>
        <v>100</v>
      </c>
    </row>
    <row r="28" spans="1:22" x14ac:dyDescent="0.25">
      <c r="A28" s="13" t="s">
        <v>49</v>
      </c>
      <c r="C28" s="1">
        <f t="shared" si="10"/>
        <v>1536.4</v>
      </c>
      <c r="E28" s="18">
        <v>58.6</v>
      </c>
      <c r="F28" s="15">
        <f t="shared" si="0"/>
        <v>1532.9560027499999</v>
      </c>
      <c r="G28" s="18">
        <v>0</v>
      </c>
      <c r="H28" s="15">
        <f t="shared" si="1"/>
        <v>0</v>
      </c>
      <c r="I28" s="18">
        <v>0</v>
      </c>
      <c r="J28" s="15">
        <f t="shared" si="2"/>
        <v>0</v>
      </c>
      <c r="K28" s="18">
        <v>5.9</v>
      </c>
      <c r="L28" s="15">
        <f t="shared" si="3"/>
        <v>2.7716725000000002</v>
      </c>
      <c r="M28" s="18">
        <v>32.5</v>
      </c>
      <c r="N28" s="15">
        <f t="shared" si="4"/>
        <v>0.72312500000000013</v>
      </c>
      <c r="O28" s="18">
        <v>3</v>
      </c>
      <c r="P28" s="15">
        <f t="shared" si="5"/>
        <v>3.3375000000000002E-2</v>
      </c>
      <c r="R28" s="15">
        <f t="shared" si="11"/>
        <v>100</v>
      </c>
    </row>
    <row r="29" spans="1:22" x14ac:dyDescent="0.25">
      <c r="E29" s="18"/>
      <c r="F29" s="15"/>
      <c r="G29" s="18"/>
      <c r="H29" s="15"/>
      <c r="I29" s="18"/>
      <c r="J29" s="15"/>
      <c r="K29" s="18"/>
      <c r="L29" s="15"/>
      <c r="M29" s="18"/>
      <c r="N29" s="15"/>
      <c r="O29" s="18"/>
      <c r="P29" s="15"/>
      <c r="R29" s="15"/>
      <c r="S29" s="15"/>
      <c r="U29" s="15"/>
      <c r="V29" s="15"/>
    </row>
    <row r="30" spans="1:22" x14ac:dyDescent="0.25">
      <c r="A30" s="13" t="s">
        <v>50</v>
      </c>
      <c r="C30" s="1">
        <f t="shared" ref="C30:C39" si="12">FLOOR((F30+H30+J30+L30+N30+P30),0.2)</f>
        <v>1251.8000000000002</v>
      </c>
      <c r="E30" s="18">
        <v>37.700000000000003</v>
      </c>
      <c r="F30" s="15">
        <f t="shared" si="0"/>
        <v>986.21913487500001</v>
      </c>
      <c r="G30" s="18">
        <v>20</v>
      </c>
      <c r="H30" s="15">
        <f t="shared" si="1"/>
        <v>247.07759999999996</v>
      </c>
      <c r="I30" s="18">
        <v>0</v>
      </c>
      <c r="J30" s="15">
        <f t="shared" si="2"/>
        <v>0</v>
      </c>
      <c r="K30" s="18">
        <v>39.299999999999997</v>
      </c>
      <c r="L30" s="15">
        <f t="shared" si="3"/>
        <v>18.4621575</v>
      </c>
      <c r="M30" s="18">
        <v>1.5</v>
      </c>
      <c r="N30" s="15">
        <f t="shared" si="4"/>
        <v>3.3375000000000002E-2</v>
      </c>
      <c r="O30" s="18">
        <v>1.5</v>
      </c>
      <c r="P30" s="15">
        <f t="shared" si="5"/>
        <v>1.6687500000000001E-2</v>
      </c>
      <c r="R30" s="15">
        <f t="shared" ref="R30:R39" si="13">E30+G30+I30+K30+M30+O30</f>
        <v>100</v>
      </c>
    </row>
    <row r="31" spans="1:22" x14ac:dyDescent="0.25">
      <c r="A31" s="13" t="s">
        <v>51</v>
      </c>
      <c r="C31" s="1">
        <f t="shared" si="12"/>
        <v>1157.6000000000001</v>
      </c>
      <c r="E31" s="18">
        <v>37.700000000000003</v>
      </c>
      <c r="F31" s="15">
        <f t="shared" si="0"/>
        <v>986.21913487500001</v>
      </c>
      <c r="G31" s="18">
        <v>0</v>
      </c>
      <c r="H31" s="15">
        <f t="shared" si="1"/>
        <v>0</v>
      </c>
      <c r="I31" s="18">
        <v>15</v>
      </c>
      <c r="J31" s="15">
        <f t="shared" si="2"/>
        <v>150.66976875</v>
      </c>
      <c r="K31" s="18">
        <v>44.3</v>
      </c>
      <c r="L31" s="15">
        <f t="shared" si="3"/>
        <v>20.8110325</v>
      </c>
      <c r="M31" s="18">
        <v>1.5</v>
      </c>
      <c r="N31" s="15">
        <f t="shared" si="4"/>
        <v>3.3375000000000002E-2</v>
      </c>
      <c r="O31" s="18">
        <v>1.5</v>
      </c>
      <c r="P31" s="15">
        <f t="shared" si="5"/>
        <v>1.6687500000000001E-2</v>
      </c>
      <c r="R31" s="15">
        <f t="shared" si="13"/>
        <v>100</v>
      </c>
    </row>
    <row r="32" spans="1:22" x14ac:dyDescent="0.25">
      <c r="A32" s="13" t="s">
        <v>52</v>
      </c>
      <c r="C32" s="1">
        <f t="shared" si="12"/>
        <v>1133.8</v>
      </c>
      <c r="E32" s="18">
        <v>37.700000000000003</v>
      </c>
      <c r="F32" s="15">
        <f t="shared" si="0"/>
        <v>986.21913487500001</v>
      </c>
      <c r="G32" s="18">
        <v>0</v>
      </c>
      <c r="H32" s="15">
        <f t="shared" si="1"/>
        <v>0</v>
      </c>
      <c r="I32" s="18">
        <v>12.5</v>
      </c>
      <c r="J32" s="15">
        <f t="shared" si="2"/>
        <v>125.55814062500002</v>
      </c>
      <c r="K32" s="18">
        <v>46.8</v>
      </c>
      <c r="L32" s="15">
        <f t="shared" si="3"/>
        <v>21.985469999999999</v>
      </c>
      <c r="M32" s="18">
        <v>1.5</v>
      </c>
      <c r="N32" s="15">
        <f t="shared" si="4"/>
        <v>3.3375000000000002E-2</v>
      </c>
      <c r="O32" s="18">
        <v>1.5</v>
      </c>
      <c r="P32" s="15">
        <f t="shared" si="5"/>
        <v>1.6687500000000001E-2</v>
      </c>
      <c r="R32" s="15">
        <f t="shared" si="13"/>
        <v>100</v>
      </c>
    </row>
    <row r="33" spans="1:18" x14ac:dyDescent="0.25">
      <c r="A33" s="13" t="s">
        <v>53</v>
      </c>
      <c r="C33" s="1">
        <f t="shared" si="12"/>
        <v>1109.8</v>
      </c>
      <c r="E33" s="18">
        <v>37.700000000000003</v>
      </c>
      <c r="F33" s="15">
        <f t="shared" si="0"/>
        <v>986.21913487500001</v>
      </c>
      <c r="G33" s="18">
        <v>0</v>
      </c>
      <c r="H33" s="15">
        <f t="shared" si="1"/>
        <v>0</v>
      </c>
      <c r="I33" s="18">
        <v>10</v>
      </c>
      <c r="J33" s="15">
        <f t="shared" si="2"/>
        <v>100.44651250000001</v>
      </c>
      <c r="K33" s="18">
        <v>49.3</v>
      </c>
      <c r="L33" s="15">
        <f t="shared" si="3"/>
        <v>23.159907499999999</v>
      </c>
      <c r="M33" s="18">
        <v>1.5</v>
      </c>
      <c r="N33" s="15">
        <f t="shared" si="4"/>
        <v>3.3375000000000002E-2</v>
      </c>
      <c r="O33" s="18">
        <v>1.5</v>
      </c>
      <c r="P33" s="15">
        <f t="shared" si="5"/>
        <v>1.6687500000000001E-2</v>
      </c>
      <c r="R33" s="15">
        <f t="shared" si="13"/>
        <v>100</v>
      </c>
    </row>
    <row r="34" spans="1:18" x14ac:dyDescent="0.25">
      <c r="A34" s="13" t="s">
        <v>54</v>
      </c>
      <c r="C34" s="1">
        <f t="shared" si="12"/>
        <v>1085.8</v>
      </c>
      <c r="E34" s="18">
        <v>37.700000000000003</v>
      </c>
      <c r="F34" s="15">
        <f t="shared" si="0"/>
        <v>986.21913487500001</v>
      </c>
      <c r="G34" s="18">
        <v>0</v>
      </c>
      <c r="H34" s="15">
        <f t="shared" si="1"/>
        <v>0</v>
      </c>
      <c r="I34" s="18">
        <v>7.5</v>
      </c>
      <c r="J34" s="15">
        <f t="shared" si="2"/>
        <v>75.334884375000001</v>
      </c>
      <c r="K34" s="18">
        <v>51.8</v>
      </c>
      <c r="L34" s="15">
        <f t="shared" si="3"/>
        <v>24.334344999999999</v>
      </c>
      <c r="M34" s="18">
        <v>1.5</v>
      </c>
      <c r="N34" s="15">
        <f t="shared" si="4"/>
        <v>3.3375000000000002E-2</v>
      </c>
      <c r="O34" s="18">
        <v>1.5</v>
      </c>
      <c r="P34" s="15">
        <f t="shared" si="5"/>
        <v>1.6687500000000001E-2</v>
      </c>
      <c r="R34" s="15">
        <f t="shared" si="13"/>
        <v>100</v>
      </c>
    </row>
    <row r="35" spans="1:18" x14ac:dyDescent="0.25">
      <c r="A35" s="13" t="s">
        <v>55</v>
      </c>
      <c r="C35" s="1">
        <f t="shared" si="12"/>
        <v>1062</v>
      </c>
      <c r="E35" s="18">
        <v>37.700000000000003</v>
      </c>
      <c r="F35" s="15">
        <f t="shared" si="0"/>
        <v>986.21913487500001</v>
      </c>
      <c r="G35" s="18">
        <v>0</v>
      </c>
      <c r="H35" s="15">
        <f t="shared" si="1"/>
        <v>0</v>
      </c>
      <c r="I35" s="18">
        <v>5</v>
      </c>
      <c r="J35" s="15">
        <f t="shared" si="2"/>
        <v>50.223256250000006</v>
      </c>
      <c r="K35" s="18">
        <v>54.3</v>
      </c>
      <c r="L35" s="15">
        <f t="shared" si="3"/>
        <v>25.508782499999999</v>
      </c>
      <c r="M35" s="18">
        <v>1.5</v>
      </c>
      <c r="N35" s="15">
        <f t="shared" si="4"/>
        <v>3.3375000000000002E-2</v>
      </c>
      <c r="O35" s="18">
        <v>1.5</v>
      </c>
      <c r="P35" s="15">
        <f t="shared" si="5"/>
        <v>1.6687500000000001E-2</v>
      </c>
      <c r="R35" s="15">
        <f t="shared" si="13"/>
        <v>100</v>
      </c>
    </row>
    <row r="36" spans="1:18" x14ac:dyDescent="0.25">
      <c r="A36" s="13" t="s">
        <v>56</v>
      </c>
      <c r="C36" s="1">
        <f t="shared" si="12"/>
        <v>1043.8</v>
      </c>
      <c r="E36" s="18">
        <v>37.700000000000003</v>
      </c>
      <c r="F36" s="15">
        <f t="shared" si="0"/>
        <v>986.21913487500001</v>
      </c>
      <c r="G36" s="18">
        <v>2.5</v>
      </c>
      <c r="H36" s="15">
        <f t="shared" si="1"/>
        <v>30.884699999999995</v>
      </c>
      <c r="I36" s="18">
        <v>0</v>
      </c>
      <c r="J36" s="15">
        <f t="shared" si="2"/>
        <v>0</v>
      </c>
      <c r="K36" s="18">
        <v>56.8</v>
      </c>
      <c r="L36" s="15">
        <f t="shared" si="3"/>
        <v>26.683219999999999</v>
      </c>
      <c r="M36" s="18">
        <v>1.5</v>
      </c>
      <c r="N36" s="15">
        <f t="shared" si="4"/>
        <v>3.3375000000000002E-2</v>
      </c>
      <c r="O36" s="18">
        <v>1.5</v>
      </c>
      <c r="P36" s="15">
        <f t="shared" si="5"/>
        <v>1.6687500000000001E-2</v>
      </c>
      <c r="R36" s="15">
        <f t="shared" si="13"/>
        <v>100</v>
      </c>
    </row>
    <row r="37" spans="1:18" x14ac:dyDescent="0.25">
      <c r="A37" s="13" t="s">
        <v>33</v>
      </c>
      <c r="C37" s="1">
        <f t="shared" si="12"/>
        <v>991.80000000000007</v>
      </c>
      <c r="E37" s="18">
        <v>37.700000000000003</v>
      </c>
      <c r="F37" s="15">
        <f t="shared" si="0"/>
        <v>986.21913487500001</v>
      </c>
      <c r="G37" s="18">
        <v>0</v>
      </c>
      <c r="H37" s="15">
        <f t="shared" si="1"/>
        <v>0</v>
      </c>
      <c r="I37" s="18">
        <v>0</v>
      </c>
      <c r="J37" s="15">
        <f t="shared" si="2"/>
        <v>0</v>
      </c>
      <c r="K37" s="18">
        <v>9.9</v>
      </c>
      <c r="L37" s="15">
        <f t="shared" si="3"/>
        <v>4.6507725000000004</v>
      </c>
      <c r="M37" s="18">
        <v>44.9</v>
      </c>
      <c r="N37" s="15">
        <f t="shared" si="4"/>
        <v>0.99902500000000005</v>
      </c>
      <c r="O37" s="18">
        <v>7.5</v>
      </c>
      <c r="P37" s="15">
        <f t="shared" si="5"/>
        <v>8.3437500000000012E-2</v>
      </c>
      <c r="R37" s="15">
        <f t="shared" si="13"/>
        <v>100</v>
      </c>
    </row>
    <row r="38" spans="1:18" x14ac:dyDescent="0.25">
      <c r="A38" s="13" t="s">
        <v>34</v>
      </c>
      <c r="C38" s="1">
        <f t="shared" si="12"/>
        <v>988.2</v>
      </c>
      <c r="E38" s="18">
        <v>37.700000000000003</v>
      </c>
      <c r="F38" s="15">
        <f t="shared" si="0"/>
        <v>986.21913487500001</v>
      </c>
      <c r="G38" s="18">
        <v>0</v>
      </c>
      <c r="H38" s="15">
        <f t="shared" si="1"/>
        <v>0</v>
      </c>
      <c r="I38" s="18">
        <v>0</v>
      </c>
      <c r="J38" s="15">
        <f t="shared" si="2"/>
        <v>0</v>
      </c>
      <c r="K38" s="18">
        <v>1.4</v>
      </c>
      <c r="L38" s="15">
        <f t="shared" si="3"/>
        <v>0.65768499999999996</v>
      </c>
      <c r="M38" s="18">
        <v>59.4</v>
      </c>
      <c r="N38" s="15">
        <f t="shared" si="4"/>
        <v>1.3216500000000002</v>
      </c>
      <c r="O38" s="18">
        <v>1.5</v>
      </c>
      <c r="P38" s="15">
        <f t="shared" si="5"/>
        <v>1.6687500000000001E-2</v>
      </c>
      <c r="R38" s="15">
        <f t="shared" si="13"/>
        <v>100</v>
      </c>
    </row>
    <row r="39" spans="1:18" x14ac:dyDescent="0.25">
      <c r="A39" s="13" t="s">
        <v>57</v>
      </c>
      <c r="C39" s="1">
        <f t="shared" si="12"/>
        <v>990</v>
      </c>
      <c r="E39" s="18">
        <v>37.700000000000003</v>
      </c>
      <c r="F39" s="15">
        <f t="shared" si="0"/>
        <v>986.21913487500001</v>
      </c>
      <c r="G39" s="18">
        <v>0</v>
      </c>
      <c r="H39" s="15">
        <f t="shared" si="1"/>
        <v>0</v>
      </c>
      <c r="I39" s="18">
        <v>0</v>
      </c>
      <c r="J39" s="15">
        <f t="shared" si="2"/>
        <v>0</v>
      </c>
      <c r="K39" s="18">
        <v>5.8000000000000007</v>
      </c>
      <c r="L39" s="15">
        <f t="shared" si="3"/>
        <v>2.7246950000000005</v>
      </c>
      <c r="M39" s="18">
        <v>52</v>
      </c>
      <c r="N39" s="15">
        <f t="shared" si="4"/>
        <v>1.157</v>
      </c>
      <c r="O39" s="18">
        <v>4.5</v>
      </c>
      <c r="P39" s="15">
        <f t="shared" si="5"/>
        <v>5.0062500000000003E-2</v>
      </c>
      <c r="R39" s="15">
        <f t="shared" si="13"/>
        <v>100</v>
      </c>
    </row>
    <row r="40" spans="1:18" x14ac:dyDescent="0.25">
      <c r="E40" s="18"/>
      <c r="F40" s="15"/>
      <c r="G40" s="18"/>
      <c r="H40" s="15"/>
      <c r="I40" s="18"/>
      <c r="J40" s="15"/>
      <c r="K40" s="18"/>
      <c r="L40" s="15"/>
      <c r="M40" s="18"/>
      <c r="N40" s="15"/>
      <c r="O40" s="18"/>
      <c r="P40" s="15"/>
      <c r="R40" s="15"/>
    </row>
    <row r="41" spans="1:18" x14ac:dyDescent="0.25">
      <c r="A41" s="13" t="s">
        <v>17</v>
      </c>
      <c r="C41" s="1">
        <f t="shared" ref="C41:C44" si="14">FLOOR((F41+H41+J41+L41+N41+P41),0.2)</f>
        <v>46.800000000000004</v>
      </c>
      <c r="E41" s="18">
        <v>0</v>
      </c>
      <c r="F41" s="15">
        <f t="shared" si="0"/>
        <v>0</v>
      </c>
      <c r="G41" s="18">
        <v>0</v>
      </c>
      <c r="H41" s="15">
        <f t="shared" si="1"/>
        <v>0</v>
      </c>
      <c r="I41" s="18">
        <v>0</v>
      </c>
      <c r="J41" s="15">
        <f t="shared" si="2"/>
        <v>0</v>
      </c>
      <c r="K41" s="18">
        <v>100</v>
      </c>
      <c r="L41" s="15">
        <f t="shared" si="3"/>
        <v>46.977499999999999</v>
      </c>
      <c r="M41" s="18">
        <v>0</v>
      </c>
      <c r="N41" s="15">
        <f t="shared" si="4"/>
        <v>0</v>
      </c>
      <c r="O41" s="18">
        <v>0</v>
      </c>
      <c r="P41" s="15">
        <f t="shared" si="5"/>
        <v>0</v>
      </c>
      <c r="R41" s="15">
        <f t="shared" ref="R41:R44" si="15">E41+G41+I41+K41+M41+O41</f>
        <v>100</v>
      </c>
    </row>
    <row r="42" spans="1:18" x14ac:dyDescent="0.25">
      <c r="A42" s="13" t="s">
        <v>18</v>
      </c>
      <c r="C42" s="1">
        <f t="shared" si="14"/>
        <v>43.6</v>
      </c>
      <c r="E42" s="18">
        <v>0</v>
      </c>
      <c r="F42" s="15">
        <f t="shared" si="0"/>
        <v>0</v>
      </c>
      <c r="G42" s="18">
        <v>0</v>
      </c>
      <c r="H42" s="15">
        <f t="shared" si="1"/>
        <v>0</v>
      </c>
      <c r="I42" s="18">
        <v>0</v>
      </c>
      <c r="J42" s="15">
        <f t="shared" si="2"/>
        <v>0</v>
      </c>
      <c r="K42" s="18">
        <v>92.5</v>
      </c>
      <c r="L42" s="15">
        <f t="shared" si="3"/>
        <v>43.454187500000003</v>
      </c>
      <c r="M42" s="18">
        <v>7.5</v>
      </c>
      <c r="N42" s="15">
        <f t="shared" si="4"/>
        <v>0.16687500000000002</v>
      </c>
      <c r="O42" s="18">
        <v>0</v>
      </c>
      <c r="P42" s="15">
        <f t="shared" si="5"/>
        <v>0</v>
      </c>
      <c r="R42" s="15">
        <f t="shared" si="15"/>
        <v>100</v>
      </c>
    </row>
    <row r="43" spans="1:18" x14ac:dyDescent="0.25">
      <c r="A43" s="13" t="s">
        <v>59</v>
      </c>
      <c r="C43" s="1">
        <f t="shared" si="14"/>
        <v>43.400000000000006</v>
      </c>
      <c r="E43" s="18">
        <v>0</v>
      </c>
      <c r="F43" s="15">
        <f t="shared" si="0"/>
        <v>0</v>
      </c>
      <c r="G43" s="18">
        <v>0</v>
      </c>
      <c r="H43" s="15">
        <f t="shared" si="1"/>
        <v>0</v>
      </c>
      <c r="I43" s="18">
        <v>0</v>
      </c>
      <c r="J43" s="15">
        <f t="shared" si="2"/>
        <v>0</v>
      </c>
      <c r="K43" s="18">
        <v>92.5</v>
      </c>
      <c r="L43" s="15">
        <f t="shared" si="3"/>
        <v>43.454187500000003</v>
      </c>
      <c r="M43" s="18">
        <v>4.5</v>
      </c>
      <c r="N43" s="15">
        <f t="shared" si="4"/>
        <v>0.10012500000000001</v>
      </c>
      <c r="O43" s="18">
        <v>3</v>
      </c>
      <c r="P43" s="15">
        <f t="shared" si="5"/>
        <v>3.3375000000000002E-2</v>
      </c>
      <c r="R43" s="15">
        <f t="shared" si="15"/>
        <v>100</v>
      </c>
    </row>
    <row r="44" spans="1:18" x14ac:dyDescent="0.25">
      <c r="A44" s="13" t="s">
        <v>60</v>
      </c>
      <c r="C44" s="1">
        <f t="shared" si="14"/>
        <v>136</v>
      </c>
      <c r="E44" s="18">
        <v>0</v>
      </c>
      <c r="F44" s="15">
        <f t="shared" si="0"/>
        <v>0</v>
      </c>
      <c r="G44" s="18">
        <v>7.5</v>
      </c>
      <c r="H44" s="15">
        <f t="shared" si="1"/>
        <v>92.654099999999985</v>
      </c>
      <c r="I44" s="18">
        <v>0</v>
      </c>
      <c r="J44" s="15">
        <f t="shared" si="2"/>
        <v>0</v>
      </c>
      <c r="K44" s="18">
        <v>92.5</v>
      </c>
      <c r="L44" s="15">
        <f t="shared" si="3"/>
        <v>43.454187500000003</v>
      </c>
      <c r="M44" s="18">
        <v>0</v>
      </c>
      <c r="N44" s="15">
        <f t="shared" si="4"/>
        <v>0</v>
      </c>
      <c r="O44" s="18">
        <v>0</v>
      </c>
      <c r="P44" s="15">
        <f t="shared" si="5"/>
        <v>0</v>
      </c>
      <c r="R44" s="15">
        <f t="shared" si="15"/>
        <v>100</v>
      </c>
    </row>
    <row r="45" spans="1:18" x14ac:dyDescent="0.25">
      <c r="E45" s="18"/>
      <c r="F45" s="15"/>
      <c r="G45" s="18"/>
      <c r="H45" s="15"/>
      <c r="I45" s="18"/>
      <c r="J45" s="15"/>
      <c r="K45" s="18"/>
      <c r="L45" s="15"/>
      <c r="M45" s="18"/>
      <c r="N45" s="15"/>
      <c r="O45" s="18"/>
      <c r="P45" s="15"/>
      <c r="R45" s="15"/>
    </row>
    <row r="46" spans="1:18" x14ac:dyDescent="0.25">
      <c r="A46" s="13" t="s">
        <v>61</v>
      </c>
      <c r="C46" s="1">
        <f t="shared" ref="C46:C48" si="16">FLOOR((F46+H46+J46+L46+N46+P46),0.2)</f>
        <v>1235.2</v>
      </c>
      <c r="E46" s="18">
        <v>0</v>
      </c>
      <c r="F46" s="15">
        <f t="shared" si="0"/>
        <v>0</v>
      </c>
      <c r="G46" s="18">
        <v>100</v>
      </c>
      <c r="H46" s="15">
        <f t="shared" si="1"/>
        <v>1235.3879999999999</v>
      </c>
      <c r="I46" s="18">
        <v>0</v>
      </c>
      <c r="J46" s="15">
        <f t="shared" si="2"/>
        <v>0</v>
      </c>
      <c r="K46" s="18">
        <v>0</v>
      </c>
      <c r="L46" s="15">
        <f t="shared" si="3"/>
        <v>0</v>
      </c>
      <c r="M46" s="18">
        <v>0</v>
      </c>
      <c r="N46" s="15">
        <f t="shared" si="4"/>
        <v>0</v>
      </c>
      <c r="O46" s="18">
        <v>0</v>
      </c>
      <c r="P46" s="15">
        <f t="shared" si="5"/>
        <v>0</v>
      </c>
      <c r="R46" s="15">
        <f t="shared" ref="R46:R47" si="17">E46+G46+I46+K46+M46+O46</f>
        <v>100</v>
      </c>
    </row>
    <row r="47" spans="1:18" x14ac:dyDescent="0.25">
      <c r="A47" s="13" t="s">
        <v>62</v>
      </c>
      <c r="C47" s="1">
        <f t="shared" si="16"/>
        <v>1304.4000000000001</v>
      </c>
      <c r="E47" s="18">
        <v>5</v>
      </c>
      <c r="F47" s="15">
        <f t="shared" si="0"/>
        <v>130.79829375</v>
      </c>
      <c r="G47" s="18">
        <v>95</v>
      </c>
      <c r="H47" s="15">
        <f t="shared" si="1"/>
        <v>1173.6185999999998</v>
      </c>
      <c r="I47" s="18">
        <v>0</v>
      </c>
      <c r="J47" s="15">
        <f t="shared" si="2"/>
        <v>0</v>
      </c>
      <c r="K47" s="18">
        <v>0</v>
      </c>
      <c r="L47" s="15">
        <f t="shared" si="3"/>
        <v>0</v>
      </c>
      <c r="M47" s="18">
        <v>0</v>
      </c>
      <c r="N47" s="15">
        <f t="shared" si="4"/>
        <v>0</v>
      </c>
      <c r="O47" s="18">
        <v>0</v>
      </c>
      <c r="P47" s="15">
        <f t="shared" si="5"/>
        <v>0</v>
      </c>
      <c r="R47" s="15">
        <f t="shared" si="17"/>
        <v>100</v>
      </c>
    </row>
    <row r="48" spans="1:18" x14ac:dyDescent="0.25">
      <c r="A48" s="13" t="s">
        <v>63</v>
      </c>
      <c r="C48" s="1">
        <f t="shared" si="16"/>
        <v>1173.6000000000001</v>
      </c>
      <c r="E48" s="18">
        <v>0</v>
      </c>
      <c r="F48" s="15">
        <f t="shared" ref="F48" si="18">F$1/100*E48</f>
        <v>0</v>
      </c>
      <c r="G48" s="18">
        <v>95</v>
      </c>
      <c r="H48" s="15">
        <f t="shared" ref="H48" si="19">H$1/100*G48</f>
        <v>1173.6185999999998</v>
      </c>
      <c r="I48" s="18">
        <v>0</v>
      </c>
      <c r="J48" s="15">
        <f t="shared" ref="J48" si="20">J$1/100*I48</f>
        <v>0</v>
      </c>
      <c r="K48" s="18">
        <v>0</v>
      </c>
      <c r="L48" s="15">
        <f t="shared" ref="L48" si="21">L$1/100*K48</f>
        <v>0</v>
      </c>
      <c r="M48" s="18">
        <v>5</v>
      </c>
      <c r="N48" s="15">
        <f t="shared" ref="N48" si="22">N$1/100*M48</f>
        <v>0.11125000000000002</v>
      </c>
      <c r="O48" s="18">
        <v>0</v>
      </c>
      <c r="P48" s="15">
        <f t="shared" ref="P48" si="23">P$1/100*O48</f>
        <v>0</v>
      </c>
      <c r="R48" s="15">
        <f t="shared" ref="R48" si="24">E48+G48+I48+K48+M48+O48</f>
        <v>100</v>
      </c>
    </row>
    <row r="49" spans="1:18" x14ac:dyDescent="0.25">
      <c r="E49" s="18"/>
      <c r="F49" s="15"/>
      <c r="G49" s="18"/>
      <c r="H49" s="15"/>
      <c r="I49" s="18"/>
      <c r="J49" s="15"/>
      <c r="K49" s="18"/>
      <c r="L49" s="15"/>
      <c r="M49" s="18"/>
      <c r="N49" s="15"/>
      <c r="O49" s="18"/>
      <c r="P49" s="15"/>
      <c r="R49" s="15"/>
    </row>
    <row r="50" spans="1:18" x14ac:dyDescent="0.25">
      <c r="A50" s="13" t="s">
        <v>64</v>
      </c>
      <c r="C50" s="1">
        <f t="shared" ref="C50:C52" si="25">FLOOR((F50+H50+J50+L50+N50+P50),0.2)</f>
        <v>1004.4000000000001</v>
      </c>
      <c r="E50" s="18">
        <v>0</v>
      </c>
      <c r="F50" s="15">
        <f t="shared" si="0"/>
        <v>0</v>
      </c>
      <c r="G50" s="18">
        <v>0</v>
      </c>
      <c r="H50" s="15">
        <f t="shared" si="1"/>
        <v>0</v>
      </c>
      <c r="I50" s="18">
        <v>100</v>
      </c>
      <c r="J50" s="15">
        <f t="shared" si="2"/>
        <v>1004.4651250000002</v>
      </c>
      <c r="K50" s="18">
        <v>0</v>
      </c>
      <c r="L50" s="15">
        <f t="shared" si="3"/>
        <v>0</v>
      </c>
      <c r="M50" s="18">
        <v>0</v>
      </c>
      <c r="N50" s="15">
        <f t="shared" si="4"/>
        <v>0</v>
      </c>
      <c r="O50" s="18">
        <v>0</v>
      </c>
      <c r="P50" s="15">
        <f t="shared" si="5"/>
        <v>0</v>
      </c>
      <c r="R50" s="15">
        <f t="shared" ref="R50:R52" si="26">E50+G50+I50+K50+M50+O50</f>
        <v>100</v>
      </c>
    </row>
    <row r="51" spans="1:18" x14ac:dyDescent="0.25">
      <c r="A51" s="13" t="s">
        <v>65</v>
      </c>
      <c r="C51" s="1">
        <f t="shared" si="25"/>
        <v>1085</v>
      </c>
      <c r="E51" s="18">
        <v>5</v>
      </c>
      <c r="F51" s="15">
        <f t="shared" si="0"/>
        <v>130.79829375</v>
      </c>
      <c r="G51" s="18">
        <v>0</v>
      </c>
      <c r="H51" s="15">
        <f t="shared" si="1"/>
        <v>0</v>
      </c>
      <c r="I51" s="18">
        <v>95</v>
      </c>
      <c r="J51" s="15">
        <f t="shared" si="2"/>
        <v>954.24186875000009</v>
      </c>
      <c r="K51" s="18">
        <v>0</v>
      </c>
      <c r="L51" s="15">
        <f t="shared" si="3"/>
        <v>0</v>
      </c>
      <c r="M51" s="18">
        <v>0</v>
      </c>
      <c r="N51" s="15">
        <f t="shared" si="4"/>
        <v>0</v>
      </c>
      <c r="O51" s="18">
        <v>0</v>
      </c>
      <c r="P51" s="15">
        <f t="shared" si="5"/>
        <v>0</v>
      </c>
      <c r="R51" s="15">
        <f t="shared" si="26"/>
        <v>100</v>
      </c>
    </row>
    <row r="52" spans="1:18" x14ac:dyDescent="0.25">
      <c r="A52" s="13" t="s">
        <v>66</v>
      </c>
      <c r="C52" s="1">
        <f t="shared" si="25"/>
        <v>954.2</v>
      </c>
      <c r="E52" s="18">
        <v>0</v>
      </c>
      <c r="F52" s="15">
        <f t="shared" si="0"/>
        <v>0</v>
      </c>
      <c r="G52" s="18">
        <v>0</v>
      </c>
      <c r="H52" s="15">
        <f t="shared" si="1"/>
        <v>0</v>
      </c>
      <c r="I52" s="18">
        <v>95</v>
      </c>
      <c r="J52" s="15">
        <f t="shared" si="2"/>
        <v>954.24186875000009</v>
      </c>
      <c r="K52" s="18">
        <v>0</v>
      </c>
      <c r="L52" s="15">
        <f t="shared" si="3"/>
        <v>0</v>
      </c>
      <c r="M52" s="18">
        <v>5</v>
      </c>
      <c r="N52" s="15">
        <f t="shared" si="4"/>
        <v>0.11125000000000002</v>
      </c>
      <c r="O52" s="18">
        <v>0</v>
      </c>
      <c r="P52" s="15">
        <f t="shared" si="5"/>
        <v>0</v>
      </c>
      <c r="R52" s="15">
        <f t="shared" si="26"/>
        <v>100</v>
      </c>
    </row>
  </sheetData>
  <phoneticPr fontId="4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Cost</vt:lpstr>
      <vt:lpstr>Master_Alloy_Prices</vt:lpstr>
      <vt:lpstr>Master Alloy Mix</vt:lpstr>
      <vt:lpstr>Correction Alloy Mix</vt:lpstr>
      <vt:lpstr>Master Alloy Sheet</vt:lpstr>
      <vt:lpstr>List_1</vt:lpstr>
      <vt:lpstr>Table_1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Piccolo Fine Designer Jewellery</cp:lastModifiedBy>
  <cp:lastPrinted>2026-04-07T09:22:57Z</cp:lastPrinted>
  <dcterms:created xsi:type="dcterms:W3CDTF">2017-08-28T10:58:39Z</dcterms:created>
  <dcterms:modified xsi:type="dcterms:W3CDTF">2026-04-08T05:55:58Z</dcterms:modified>
</cp:coreProperties>
</file>