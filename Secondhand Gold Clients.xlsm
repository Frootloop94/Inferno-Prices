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C:\Users\user-pc\Dropbox\Cashflow\Sheets needing revision\Inferno-Prices\"/>
    </mc:Choice>
  </mc:AlternateContent>
  <xr:revisionPtr revIDLastSave="0" documentId="13_ncr:1_{0FD4EFAC-A32D-440B-A8F9-9E06E623BF4A}" xr6:coauthVersionLast="47" xr6:coauthVersionMax="47" xr10:uidLastSave="{00000000-0000-0000-0000-000000000000}"/>
  <bookViews>
    <workbookView xWindow="15090" yWindow="1110" windowWidth="12345" windowHeight="14175" activeTab="1" xr2:uid="{45FB0F07-506E-4AC0-870A-FAC61E2A0FC4}"/>
  </bookViews>
  <sheets>
    <sheet name="Sheet1" sheetId="1" r:id="rId1"/>
    <sheet name="Sheet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2" l="1"/>
  <c r="B6" i="2"/>
  <c r="B5" i="2"/>
  <c r="B4" i="2"/>
  <c r="B6" i="1" s="1"/>
  <c r="B3" i="2"/>
  <c r="B5" i="1" s="1"/>
  <c r="A4" i="1"/>
  <c r="B8" i="1" l="1"/>
  <c r="B9" i="1"/>
  <c r="B7" i="1"/>
</calcChain>
</file>

<file path=xl/sharedStrings.xml><?xml version="1.0" encoding="utf-8"?>
<sst xmlns="http://schemas.openxmlformats.org/spreadsheetml/2006/main" count="26" uniqueCount="21">
  <si>
    <t>We are pleased to offer you competitive rates for purchasing your old gold.</t>
  </si>
  <si>
    <t>Our current prices are as follows:</t>
  </si>
  <si>
    <t>24ct Gold per gram:</t>
  </si>
  <si>
    <t>22ct Gold per gram:</t>
  </si>
  <si>
    <t>18ct Gold per gram:</t>
  </si>
  <si>
    <t>14ct Gold per gram:</t>
  </si>
  <si>
    <t>9ct Gold per gram:</t>
  </si>
  <si>
    <t>Please note, these prices are subject to change based on the spot price of gold at the time of selling. We provide prompt payment through either Cash or EFT, guaranteed within 24 to 48 hours.</t>
  </si>
  <si>
    <t>In addition, we offer refining services for jewellery bench fillings and sweeps, ensuring you receive the best rates and guaranteed returns.</t>
  </si>
  <si>
    <t>For inquiries or to arrange a sale, please contact us:</t>
  </si>
  <si>
    <t>Renel: 060 911 4782</t>
  </si>
  <si>
    <t>Shane: 084 874 3792</t>
  </si>
  <si>
    <t>We look forward to assisting you.</t>
  </si>
  <si>
    <t>Warm regards,</t>
  </si>
  <si>
    <t>Spot</t>
  </si>
  <si>
    <t>Office: 083 396 6178</t>
  </si>
  <si>
    <t>Johann: 079 694 4149</t>
  </si>
  <si>
    <t>Dear Valued Clients</t>
  </si>
  <si>
    <t>Infero Gold</t>
  </si>
  <si>
    <t>Date</t>
  </si>
  <si>
    <t>26/03/2026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</si>
</sst>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5" formatCode="&quot;R&quot;#,##0;\-&quot;R&quot;#,##0"/>
    <numFmt numFmtId="6" formatCode="&quot;R&quot;#,##0;[Red]\-&quot;R&quot;#,##0"/>
    <numFmt numFmtId="8" formatCode="&quot;R&quot;#,##0.00;[Red]\-&quot;R&quot;#,##0.00"/>
  </numFmts>
  <fonts count="7" x14ac:knownFonts="1">
    <font>
      <sz val="11"/>
      <color theme="1"/>
      <name val="Aptos Narrow"/>
      <family val="2"/>
      <scheme val="minor"/>
    </font>
    <font>
      <sz val="12"/>
      <color theme="1"/>
      <name val="Aptos"/>
      <family val="2"/>
    </font>
    <font>
      <sz val="14"/>
      <color theme="1"/>
      <name val="Aptos"/>
      <family val="2"/>
    </font>
    <font>
      <sz val="18"/>
      <color theme="1"/>
      <name val="Aptos Narrow"/>
      <family val="2"/>
      <scheme val="minor"/>
    </font>
    <font>
      <sz val="18"/>
      <color theme="1"/>
      <name val="Aptos"/>
      <family val="2"/>
    </font>
    <font>
      <sz val="18"/>
      <color rgb="FFFF0000"/>
      <name val="Aptos Narrow"/>
      <family val="2"/>
      <scheme val="minor"/>
    </font>
    <font>
      <sz val="11"/>
      <color rgb="FF000000"/>
      <name val="Aptos Narrow"/>
      <family val="2"/>
    </font>
  </fonts>
  <fills count="3">
    <fill>
      <patternFill patternType="none"/>
    </fill>
    <fill>
      <patternFill patternType="gray125"/>
    </fill>
    <fill>
      <patternFill patternType="solid">
        <fgColor rgb="FFFF0000"/>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1">
    <xf numFmtId="0" fontId="0" fillId="0" borderId="0"/>
  </cellStyleXfs>
  <cellXfs count="12">
    <xf numFmtId="0" fontId="0" fillId="0" borderId="0" xfId="0"/>
    <xf numFmtId="0" fontId="1" fillId="0" borderId="0" xfId="0" applyFont="1" applyAlignment="1">
      <alignment vertical="center"/>
    </xf>
    <xf numFmtId="14" fontId="1" fillId="0" borderId="0" xfId="0" applyNumberFormat="1" applyFont="1" applyAlignment="1">
      <alignment horizontal="left" vertical="center"/>
    </xf>
    <xf numFmtId="0" fontId="3" fillId="0" borderId="0" xfId="0" applyFont="1"/>
    <xf numFmtId="0" fontId="4" fillId="0" borderId="0" xfId="0" applyFont="1" applyAlignment="1">
      <alignment vertical="center" wrapText="1"/>
    </xf>
    <xf numFmtId="8" fontId="4" fillId="0" borderId="0" xfId="0" applyNumberFormat="1" applyFont="1" applyAlignment="1">
      <alignment vertical="center" wrapText="1"/>
    </xf>
    <xf numFmtId="5" fontId="3" fillId="2" borderId="0" xfId="0" applyNumberFormat="1" applyFont="1" applyFill="1"/>
    <xf numFmtId="5" fontId="3" fillId="0" borderId="0" xfId="0" applyNumberFormat="1" applyFont="1"/>
    <xf numFmtId="6" fontId="2" fillId="0" borderId="2" xfId="0" applyNumberFormat="1" applyFont="1" applyBorder="1" applyAlignment="1">
      <alignment horizontal="left" vertical="center" wrapText="1"/>
    </xf>
    <xf numFmtId="0" fontId="2" fillId="0" borderId="1" xfId="0" applyFont="1" applyBorder="1" applyAlignment="1">
      <alignment horizontal="right" vertical="center" wrapText="1"/>
    </xf>
    <xf numFmtId="0" fontId="2" fillId="0" borderId="3" xfId="0" applyFont="1" applyBorder="1" applyAlignment="1">
      <alignment horizontal="right" vertical="center" wrapText="1"/>
    </xf>
    <xf numFmtId="0" fontId="5"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295275</xdr:rowOff>
        </xdr:from>
        <xdr:to>
          <xdr:col>4</xdr:col>
          <xdr:colOff>0</xdr:colOff>
          <xdr:row>2</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Aptos Narrow"/>
                </a:rPr>
                <a:t>Generate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F0CE8-2AA8-4484-ACF8-5ED1DB76FE43}">
  <sheetPr codeName="Sheet1"/>
  <dimension ref="A1:B19"/>
  <sheetViews>
    <sheetView workbookViewId="0">
      <selection activeCell="A4" sqref="A4"/>
    </sheetView>
  </sheetViews>
  <sheetFormatPr defaultRowHeight="15" x14ac:dyDescent="0.25"/>
  <cols>
    <col min="1" max="1" width="26.42578125" customWidth="1"/>
    <col min="2" max="2" width="16" bestFit="1" customWidth="1"/>
  </cols>
  <sheetData>
    <row r="1" spans="1:2" ht="15.75" x14ac:dyDescent="0.25">
      <c r="A1" s="1" t="s">
        <v>17</v>
      </c>
    </row>
    <row r="2" spans="1:2" ht="15.75" x14ac:dyDescent="0.25">
      <c r="A2" s="1" t="s">
        <v>0</v>
      </c>
    </row>
    <row r="3" spans="1:2" ht="15.75" x14ac:dyDescent="0.25">
      <c r="A3" s="1" t="s">
        <v>1</v>
      </c>
    </row>
    <row r="4" spans="1:2" ht="16.5" thickBot="1" x14ac:dyDescent="0.3">
      <c r="A4" s="2">
        <f ca="1">TODAY()</f>
        <v>46107</v>
      </c>
    </row>
    <row r="5" spans="1:2" ht="19.5" thickBot="1" x14ac:dyDescent="0.3">
      <c r="A5" s="9" t="s">
        <v>2</v>
      </c>
      <c r="B5" s="8">
        <f>Sheet2!B3</f>
        <v>2321</v>
      </c>
    </row>
    <row r="6" spans="1:2" ht="19.5" thickBot="1" x14ac:dyDescent="0.3">
      <c r="A6" s="10" t="s">
        <v>3</v>
      </c>
      <c r="B6" s="8">
        <f>Sheet2!B4</f>
        <v>2126</v>
      </c>
    </row>
    <row r="7" spans="1:2" ht="19.5" thickBot="1" x14ac:dyDescent="0.3">
      <c r="A7" s="10" t="s">
        <v>4</v>
      </c>
      <c r="B7" s="8">
        <f>Sheet2!B5</f>
        <v>1741</v>
      </c>
    </row>
    <row r="8" spans="1:2" ht="19.5" thickBot="1" x14ac:dyDescent="0.3">
      <c r="A8" s="10" t="s">
        <v>5</v>
      </c>
      <c r="B8" s="8">
        <f>Sheet2!B6</f>
        <v>1358</v>
      </c>
    </row>
    <row r="9" spans="1:2" ht="19.5" thickBot="1" x14ac:dyDescent="0.3">
      <c r="A9" s="10" t="s">
        <v>6</v>
      </c>
      <c r="B9" s="8">
        <f>Sheet2!B7</f>
        <v>871</v>
      </c>
    </row>
    <row r="10" spans="1:2" ht="15.75" x14ac:dyDescent="0.25">
      <c r="A10" s="1" t="s">
        <v>7</v>
      </c>
    </row>
    <row r="11" spans="1:2" ht="15.75" x14ac:dyDescent="0.25">
      <c r="A11" s="1" t="s">
        <v>8</v>
      </c>
    </row>
    <row r="12" spans="1:2" ht="15.75" x14ac:dyDescent="0.25">
      <c r="A12" s="1" t="s">
        <v>9</v>
      </c>
    </row>
    <row r="13" spans="1:2" ht="15.75" x14ac:dyDescent="0.25">
      <c r="A13" s="1" t="s">
        <v>15</v>
      </c>
    </row>
    <row r="14" spans="1:2" ht="15.75" x14ac:dyDescent="0.25">
      <c r="A14" s="1" t="s">
        <v>16</v>
      </c>
    </row>
    <row r="15" spans="1:2" ht="15.75" x14ac:dyDescent="0.25">
      <c r="A15" s="1" t="s">
        <v>10</v>
      </c>
    </row>
    <row r="16" spans="1:2" ht="15.75" x14ac:dyDescent="0.25">
      <c r="A16" s="1" t="s">
        <v>11</v>
      </c>
    </row>
    <row r="17" spans="1:1" ht="15.75" x14ac:dyDescent="0.25">
      <c r="A17" s="1" t="s">
        <v>12</v>
      </c>
    </row>
    <row r="18" spans="1:1" ht="15.75" x14ac:dyDescent="0.25">
      <c r="A18" s="1" t="s">
        <v>13</v>
      </c>
    </row>
    <row r="19" spans="1:1" ht="15.75" x14ac:dyDescent="0.25">
      <c r="A19" s="1" t="s">
        <v>18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43FF38-5DB3-4BBA-9FA9-03A5CBC86175}">
  <sheetPr codeName="Sheet2"/>
  <dimension ref="A1:E14"/>
  <sheetViews>
    <sheetView tabSelected="1" workbookViewId="0">
      <selection activeCell="B3" sqref="B3"/>
    </sheetView>
  </sheetViews>
  <sheetFormatPr defaultColWidth="9.140625" defaultRowHeight="24" x14ac:dyDescent="0.4"/>
  <cols>
    <col min="1" max="1" width="36.5703125" style="3" customWidth="1"/>
    <col min="2" max="2" width="17" style="7" bestFit="1" customWidth="1"/>
    <col min="3" max="3" width="9.140625" style="3"/>
    <col min="4" max="4" width="10.5703125" style="3" bestFit="1" customWidth="1"/>
    <col min="5" max="5" width="10.28515625" style="3" bestFit="1" customWidth="1"/>
    <col min="6" max="16384" width="9.140625" style="3"/>
  </cols>
  <sheetData>
    <row r="1" spans="1:5" x14ac:dyDescent="0.4">
      <c r="A1" s="3" t="s">
        <v>19</v>
      </c>
      <c r="B1" s="7" t="s">
        <v>20</v>
      </c>
    </row>
    <row r="2" spans="1:5" x14ac:dyDescent="0.4">
      <c r="A2" s="3" t="s">
        <v>14</v>
      </c>
      <c r="B2" s="6">
        <v>2442.3000000000002</v>
      </c>
    </row>
    <row r="3" spans="1:5" x14ac:dyDescent="0.4">
      <c r="A3" s="4" t="s">
        <v>2</v>
      </c>
      <c r="B3" s="7">
        <f>CEILING(B2*0.95,1)</f>
        <v>2321</v>
      </c>
    </row>
    <row r="4" spans="1:5" x14ac:dyDescent="0.4">
      <c r="A4" s="4" t="s">
        <v>3</v>
      </c>
      <c r="B4" s="7">
        <f>CEILING(B2*0.916*0.95,1)</f>
        <v>2126</v>
      </c>
      <c r="E4" s="11"/>
    </row>
    <row r="5" spans="1:5" x14ac:dyDescent="0.4">
      <c r="A5" s="4" t="s">
        <v>4</v>
      </c>
      <c r="B5" s="7">
        <f>CEILING(B2*0.75*0.95,1)</f>
        <v>1741</v>
      </c>
    </row>
    <row r="6" spans="1:5" x14ac:dyDescent="0.4">
      <c r="A6" s="4" t="s">
        <v>5</v>
      </c>
      <c r="B6" s="7">
        <f>CEILING(B2*0.585*0.95,1)</f>
        <v>1358</v>
      </c>
    </row>
    <row r="7" spans="1:5" x14ac:dyDescent="0.4">
      <c r="A7" s="4" t="s">
        <v>6</v>
      </c>
      <c r="B7" s="7">
        <f>CEILING(B2*0.375*0.95,1)</f>
        <v>871</v>
      </c>
    </row>
    <row r="10" spans="1:5" x14ac:dyDescent="0.4">
      <c r="D10" s="4"/>
      <c r="E10" s="5"/>
    </row>
    <row r="11" spans="1:5" x14ac:dyDescent="0.4">
      <c r="D11" s="4"/>
      <c r="E11" s="5"/>
    </row>
    <row r="12" spans="1:5" x14ac:dyDescent="0.4">
      <c r="D12" s="4"/>
      <c r="E12" s="5"/>
    </row>
    <row r="13" spans="1:5" x14ac:dyDescent="0.4">
      <c r="D13" s="4"/>
      <c r="E13" s="5"/>
    </row>
    <row r="14" spans="1:5" x14ac:dyDescent="0.4">
      <c r="D14" s="4"/>
      <c r="E14" s="5"/>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ScrapJSONFile">
                <anchor moveWithCells="1" sizeWithCells="1">
                  <from>
                    <xdr:col>3</xdr:col>
                    <xdr:colOff>0</xdr:colOff>
                    <xdr:row>0</xdr:row>
                    <xdr:rowOff>295275</xdr:rowOff>
                  </from>
                  <to>
                    <xdr:col>4</xdr:col>
                    <xdr:colOff>0</xdr:colOff>
                    <xdr:row>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Piccolo Fine Designer Jewellery</dc:creator>
  <cp:lastModifiedBy>Piccolo Fine Designer Jewellery</cp:lastModifiedBy>
  <cp:lastPrinted>2025-06-19T06:20:20Z</cp:lastPrinted>
  <dcterms:created xsi:type="dcterms:W3CDTF">2024-09-14T06:06:03Z</dcterms:created>
  <dcterms:modified xsi:type="dcterms:W3CDTF">2026-03-26T05:57:19Z</dcterms:modified>
</cp:coreProperties>
</file>